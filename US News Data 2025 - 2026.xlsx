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D0DD1CFB-C9FC-473F-856D-ECFFD0956E3A}" xr6:coauthVersionLast="47" xr6:coauthVersionMax="47" xr10:uidLastSave="{00000000-0000-0000-0000-000000000000}"/>
  <bookViews>
    <workbookView xWindow="-98" yWindow="-98" windowWidth="21795" windowHeight="12975" xr2:uid="{89E47238-474B-4C56-BCE2-45CCD94DDC63}"/>
  </bookViews>
  <sheets>
    <sheet name="2026" sheetId="1" r:id="rId1"/>
    <sheet name="2025" sheetId="2" r:id="rId2"/>
  </sheets>
  <definedNames>
    <definedName name="_xlnm._FilterDatabase" localSheetId="1" hidden="1">'2025'!$A$1:$O$1</definedName>
    <definedName name="_xlnm._FilterDatabase" localSheetId="0" hidden="1">'2026'!$A$1:$O$1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2" l="1"/>
  <c r="O11" i="2" s="1"/>
  <c r="N13" i="2"/>
  <c r="O13" i="2" s="1"/>
  <c r="N14" i="2"/>
  <c r="O14" i="2" s="1"/>
  <c r="N15" i="2"/>
  <c r="O15" i="2" s="1"/>
  <c r="N16" i="2"/>
  <c r="O16" i="2" s="1"/>
  <c r="N18" i="2"/>
  <c r="O18" i="2" s="1"/>
  <c r="N19" i="2"/>
  <c r="O19" i="2" s="1"/>
  <c r="N20" i="2"/>
  <c r="O20" i="2" s="1"/>
  <c r="N21" i="2"/>
  <c r="O21" i="2" s="1"/>
  <c r="N23" i="2"/>
  <c r="O23" i="2" s="1"/>
  <c r="N10" i="2"/>
  <c r="O10" i="2" s="1"/>
  <c r="N12" i="2"/>
  <c r="O12" i="2" s="1"/>
  <c r="N24" i="2"/>
  <c r="O24" i="2" s="1"/>
  <c r="N25" i="2"/>
  <c r="O25" i="2" s="1"/>
  <c r="N26" i="2"/>
  <c r="O26" i="2" s="1"/>
  <c r="N27" i="2"/>
  <c r="O27" i="2" s="1"/>
  <c r="N28" i="2"/>
  <c r="O28" i="2" s="1"/>
  <c r="N22" i="2"/>
  <c r="O22" i="2" s="1"/>
  <c r="N29" i="2"/>
  <c r="O29" i="2" s="1"/>
  <c r="N30" i="2"/>
  <c r="O30" i="2" s="1"/>
  <c r="N17" i="2"/>
  <c r="O17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2" i="2"/>
  <c r="O2" i="2" s="1"/>
  <c r="N3" i="2"/>
  <c r="O3" i="2" s="1"/>
  <c r="N4" i="2"/>
  <c r="O4" i="2" s="1"/>
  <c r="N5" i="2"/>
  <c r="O5" i="2" s="1"/>
  <c r="N7" i="2"/>
  <c r="O7" i="2" s="1"/>
  <c r="N8" i="2"/>
  <c r="O8" i="2" s="1"/>
  <c r="N9" i="2"/>
  <c r="O9" i="2" s="1"/>
  <c r="N6" i="2"/>
  <c r="O6" i="2" s="1"/>
  <c r="N3" i="1"/>
  <c r="O3" i="1" s="1"/>
  <c r="N4" i="1"/>
  <c r="O4" i="1" s="1"/>
  <c r="N5" i="1"/>
  <c r="O5" i="1" s="1"/>
  <c r="N6" i="1"/>
  <c r="O6" i="1" s="1"/>
  <c r="N8" i="1"/>
  <c r="O8" i="1" s="1"/>
  <c r="N7" i="1"/>
  <c r="O7" i="1" s="1"/>
  <c r="N10" i="1"/>
  <c r="O10" i="1" s="1"/>
  <c r="N9" i="1"/>
  <c r="O9" i="1" s="1"/>
  <c r="N12" i="1"/>
  <c r="O12" i="1" s="1"/>
  <c r="N11" i="1"/>
  <c r="O11" i="1" s="1"/>
  <c r="N14" i="1"/>
  <c r="O14" i="1" s="1"/>
  <c r="N13" i="1"/>
  <c r="O13" i="1" s="1"/>
  <c r="N15" i="1"/>
  <c r="O15" i="1" s="1"/>
  <c r="N16" i="1"/>
  <c r="O16" i="1" s="1"/>
  <c r="N30" i="1"/>
  <c r="O30" i="1" s="1"/>
  <c r="N17" i="1"/>
  <c r="O17" i="1" s="1"/>
  <c r="N18" i="1"/>
  <c r="O18" i="1" s="1"/>
  <c r="N19" i="1"/>
  <c r="O19" i="1" s="1"/>
  <c r="N21" i="1"/>
  <c r="O21" i="1" s="1"/>
  <c r="N23" i="1"/>
  <c r="O23" i="1" s="1"/>
  <c r="N20" i="1"/>
  <c r="O20" i="1" s="1"/>
  <c r="N22" i="1"/>
  <c r="O22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48" i="1"/>
  <c r="O48" i="1" s="1"/>
  <c r="N31" i="1"/>
  <c r="O31" i="1" s="1"/>
  <c r="N32" i="1"/>
  <c r="O32" i="1" s="1"/>
  <c r="N33" i="1"/>
  <c r="O33" i="1" s="1"/>
  <c r="N34" i="1"/>
  <c r="O34" i="1" s="1"/>
  <c r="N36" i="1"/>
  <c r="O36" i="1" s="1"/>
  <c r="N37" i="1"/>
  <c r="O37" i="1" s="1"/>
  <c r="N35" i="1"/>
  <c r="O35" i="1" s="1"/>
  <c r="N39" i="1"/>
  <c r="O39" i="1" s="1"/>
  <c r="N41" i="1"/>
  <c r="O41" i="1" s="1"/>
  <c r="N38" i="1"/>
  <c r="O38" i="1" s="1"/>
  <c r="N40" i="1"/>
  <c r="O40" i="1" s="1"/>
  <c r="N42" i="1"/>
  <c r="O42" i="1" s="1"/>
  <c r="N50" i="1"/>
  <c r="O50" i="1" s="1"/>
  <c r="N49" i="1"/>
  <c r="O49" i="1" s="1"/>
  <c r="N44" i="1"/>
  <c r="O44" i="1" s="1"/>
  <c r="N53" i="1"/>
  <c r="O53" i="1" s="1"/>
  <c r="N43" i="1"/>
  <c r="O43" i="1" s="1"/>
  <c r="N56" i="1"/>
  <c r="O56" i="1" s="1"/>
  <c r="N54" i="1"/>
  <c r="O54" i="1" s="1"/>
  <c r="N45" i="1"/>
  <c r="O45" i="1" s="1"/>
  <c r="N51" i="1"/>
  <c r="O51" i="1" s="1"/>
  <c r="N52" i="1"/>
  <c r="O52" i="1" s="1"/>
  <c r="N46" i="1"/>
  <c r="O46" i="1" s="1"/>
  <c r="N47" i="1"/>
  <c r="O47" i="1" s="1"/>
  <c r="N57" i="1"/>
  <c r="O57" i="1" s="1"/>
  <c r="N55" i="1"/>
  <c r="O55" i="1" s="1"/>
  <c r="N58" i="1"/>
  <c r="O58" i="1" s="1"/>
  <c r="N2" i="1"/>
  <c r="O2" i="1" s="1"/>
</calcChain>
</file>

<file path=xl/sharedStrings.xml><?xml version="1.0" encoding="utf-8"?>
<sst xmlns="http://schemas.openxmlformats.org/spreadsheetml/2006/main" count="779" uniqueCount="147">
  <si>
    <t>school_info.school_name</t>
  </si>
  <si>
    <t>school_info.us_news_rank</t>
  </si>
  <si>
    <t>school_info.us_news_overall_score</t>
  </si>
  <si>
    <t>American University</t>
  </si>
  <si>
    <t>Arizona State University</t>
  </si>
  <si>
    <t>Auburn University</t>
  </si>
  <si>
    <t>Babson College</t>
  </si>
  <si>
    <t>Baylor University</t>
  </si>
  <si>
    <t>Bentley University</t>
  </si>
  <si>
    <t>Binghamton University--SUNY</t>
  </si>
  <si>
    <t>Boston College</t>
  </si>
  <si>
    <t>Boston University</t>
  </si>
  <si>
    <t>Brandeis University</t>
  </si>
  <si>
    <t>Brigham Young University</t>
  </si>
  <si>
    <t>Canisius University</t>
  </si>
  <si>
    <t>Carnegie Mellon University</t>
  </si>
  <si>
    <t>Chapman University</t>
  </si>
  <si>
    <t>Claremont Graduate University</t>
  </si>
  <si>
    <t>Clark Atlanta University</t>
  </si>
  <si>
    <t>Clark University</t>
  </si>
  <si>
    <t>Clarkson University</t>
  </si>
  <si>
    <t>Clemson University</t>
  </si>
  <si>
    <t>College of Charleston</t>
  </si>
  <si>
    <t>William &amp; Mary</t>
  </si>
  <si>
    <t>Columbia University</t>
  </si>
  <si>
    <t>Cornell University</t>
  </si>
  <si>
    <t>CUNY Bernard M. Baruch College</t>
  </si>
  <si>
    <t>Dartmouth College</t>
  </si>
  <si>
    <t>Drexel University</t>
  </si>
  <si>
    <t>Duke University</t>
  </si>
  <si>
    <t>Duquesne University</t>
  </si>
  <si>
    <t>Emory University</t>
  </si>
  <si>
    <t>Florida State University</t>
  </si>
  <si>
    <t>Fordham University</t>
  </si>
  <si>
    <t>George Washington University</t>
  </si>
  <si>
    <t>Georgetown University</t>
  </si>
  <si>
    <t>Georgia Institute of Technology</t>
  </si>
  <si>
    <t>Harvard University</t>
  </si>
  <si>
    <t>Indiana University</t>
  </si>
  <si>
    <t>Iowa State University</t>
  </si>
  <si>
    <t>Kent State University</t>
  </si>
  <si>
    <t>La Salle University</t>
  </si>
  <si>
    <t>Lehigh University</t>
  </si>
  <si>
    <t>Lipscomb University</t>
  </si>
  <si>
    <t>Louisiana State University--Baton Rouge</t>
  </si>
  <si>
    <t>Louisiana Tech University</t>
  </si>
  <si>
    <t>Loyola University Maryland</t>
  </si>
  <si>
    <t>Massachusetts Institute of Technology</t>
  </si>
  <si>
    <t>Michigan State University</t>
  </si>
  <si>
    <t>Michigan Technological University</t>
  </si>
  <si>
    <t>Mississippi State University</t>
  </si>
  <si>
    <t>New York University</t>
  </si>
  <si>
    <t>North Carolina A&amp;T State University</t>
  </si>
  <si>
    <t>Northeastern University</t>
  </si>
  <si>
    <t>Northwestern University</t>
  </si>
  <si>
    <t>Ohio State University</t>
  </si>
  <si>
    <t>Oklahoma State University</t>
  </si>
  <si>
    <t>Pepperdine University</t>
  </si>
  <si>
    <t>Portland State University</t>
  </si>
  <si>
    <t>Quinnipiac University</t>
  </si>
  <si>
    <t>Rensselaer Polytechnic Institute</t>
  </si>
  <si>
    <t>Rice University</t>
  </si>
  <si>
    <t>Rochester Institute of Technology</t>
  </si>
  <si>
    <t>Rutgers University--Newark and New Brunswick</t>
  </si>
  <si>
    <t>Southern Methodist University</t>
  </si>
  <si>
    <t>Saint Louis University</t>
  </si>
  <si>
    <t>Stanford University</t>
  </si>
  <si>
    <t>Stevens Institute of Technology</t>
  </si>
  <si>
    <t>University at Albany--SUNY</t>
  </si>
  <si>
    <t>Syracuse University</t>
  </si>
  <si>
    <t>Texas A&amp;M University--College Station</t>
  </si>
  <si>
    <t>Texas Christian University</t>
  </si>
  <si>
    <t>Texas Tech University</t>
  </si>
  <si>
    <t>University of Texas--Austin</t>
  </si>
  <si>
    <t>Tulane University</t>
  </si>
  <si>
    <t>University at Buffalo--SUNY</t>
  </si>
  <si>
    <t>University of Alabama</t>
  </si>
  <si>
    <t>University of Arizona</t>
  </si>
  <si>
    <t>University of Arkansas--Fayetteville</t>
  </si>
  <si>
    <t>University of California, Berkeley</t>
  </si>
  <si>
    <t>University of California--Davis</t>
  </si>
  <si>
    <t>University of California--Irvine</t>
  </si>
  <si>
    <t>University of California--Los Angeles</t>
  </si>
  <si>
    <t>University of California--Riverside</t>
  </si>
  <si>
    <t>University of California--San Diego</t>
  </si>
  <si>
    <t>University of Chicago</t>
  </si>
  <si>
    <t>University of Cincinnati</t>
  </si>
  <si>
    <t>University of Colorado--Boulder</t>
  </si>
  <si>
    <t>University of Denver</t>
  </si>
  <si>
    <t>University of Detroit Mercy</t>
  </si>
  <si>
    <t>University of Florida</t>
  </si>
  <si>
    <t>University of Georgia</t>
  </si>
  <si>
    <t>University of Kansas</t>
  </si>
  <si>
    <t>University of Kentucky</t>
  </si>
  <si>
    <t>University of Maryland--College Park</t>
  </si>
  <si>
    <t>University of Massachusetts--Amherst</t>
  </si>
  <si>
    <t>University of Miami</t>
  </si>
  <si>
    <t>University of Michigan--Ann Arbor</t>
  </si>
  <si>
    <t>University of Minnesota--Duluth</t>
  </si>
  <si>
    <t>University of Minnesota--Twin Cities</t>
  </si>
  <si>
    <t>University of Mississippi</t>
  </si>
  <si>
    <t>University of New Hampshire</t>
  </si>
  <si>
    <t>University of North Carolina--Chapel Hill</t>
  </si>
  <si>
    <t>University of Notre Dame</t>
  </si>
  <si>
    <t>The University of Oklahoma</t>
  </si>
  <si>
    <t>University of Oregon</t>
  </si>
  <si>
    <t>University of Pennsylvania</t>
  </si>
  <si>
    <t>University of Pittsburgh</t>
  </si>
  <si>
    <t>University of Rochester</t>
  </si>
  <si>
    <t>University of San Diego</t>
  </si>
  <si>
    <t>University of San Francisco</t>
  </si>
  <si>
    <t>University of South Carolina</t>
  </si>
  <si>
    <t>University of South Florida</t>
  </si>
  <si>
    <t>University of Southern California</t>
  </si>
  <si>
    <t>University of Tennessee--Knoxville</t>
  </si>
  <si>
    <t>The University of Texas at Dallas</t>
  </si>
  <si>
    <t>University of Utah</t>
  </si>
  <si>
    <t>University of Virginia</t>
  </si>
  <si>
    <t>University of Washington</t>
  </si>
  <si>
    <t>University of Wisconsin--Madison</t>
  </si>
  <si>
    <t>Vanderbilt University</t>
  </si>
  <si>
    <t>Washington University in St. Louis</t>
  </si>
  <si>
    <t>West Texas A&amp;M University</t>
  </si>
  <si>
    <t>Willamette University</t>
  </si>
  <si>
    <t>Yale University</t>
  </si>
  <si>
    <t>admissions_and_enrollment.acceptance_rate</t>
  </si>
  <si>
    <t>ranking_scores_two_year_averages.avg_starting_salary_and_bonus_two_yr_avg</t>
  </si>
  <si>
    <t>ranking_scores_two_year_averages.fulltime_employed_3_months_after_two_yr_avg</t>
  </si>
  <si>
    <t>ranking_scores_two_year_averages.fulltime_employed_at_graduation_two_yr_avg</t>
  </si>
  <si>
    <t>ranking_scores_two_year_averages.peer_assessment_score_out_of_5</t>
  </si>
  <si>
    <t>ranking_scores_two_year_averages.median_undergraduate_gpa</t>
  </si>
  <si>
    <t>ranking_scores_two_year_averages.recruiter_assessment_score_out_of_5</t>
  </si>
  <si>
    <t>ranking_scores_two_year_averages.median_gmat_score_fulltime_new</t>
  </si>
  <si>
    <t>ranking_scores_two_year_averages.median_gmat_score_fulltime_old</t>
  </si>
  <si>
    <t>NA</t>
  </si>
  <si>
    <t>ranking_scores_two_year_averages.salaries_by_profession_indicator_rank</t>
  </si>
  <si>
    <t>Bryant University</t>
  </si>
  <si>
    <t>Case Western Reserve University</t>
  </si>
  <si>
    <t>New Jersey Institute of Technology</t>
  </si>
  <si>
    <t>Pace University</t>
  </si>
  <si>
    <t>Suffolk University</t>
  </si>
  <si>
    <t>Texas State University</t>
  </si>
  <si>
    <t>University of Louisville</t>
  </si>
  <si>
    <t>University of Texas at Dallas</t>
  </si>
  <si>
    <t>GMAT Final 1</t>
  </si>
  <si>
    <t>GMAT Final 2</t>
  </si>
  <si>
    <t>KNN Imputed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</si>
</sst>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6BB7-CA86-4DD5-8C70-3DA0BBF9C646}">
  <dimension ref="A1:O123"/>
  <sheetViews>
    <sheetView tabSelected="1" workbookViewId="0">
      <selection activeCell="F1" sqref="F1"/>
    </sheetView>
  </sheetViews>
  <sheetFormatPr defaultRowHeight="14.25" x14ac:dyDescent="0.45"/>
  <cols>
    <col min="14" max="14" width="14.06640625" bestFit="1" customWidth="1"/>
    <col min="15" max="15" width="17.19921875" bestFit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125</v>
      </c>
      <c r="E1" s="1" t="s">
        <v>126</v>
      </c>
      <c r="F1" s="1" t="s">
        <v>135</v>
      </c>
      <c r="G1" s="1" t="s">
        <v>127</v>
      </c>
      <c r="H1" s="1" t="s">
        <v>128</v>
      </c>
      <c r="I1" s="1" t="s">
        <v>129</v>
      </c>
      <c r="J1" s="1" t="s">
        <v>131</v>
      </c>
      <c r="K1" s="1" t="s">
        <v>130</v>
      </c>
      <c r="L1" t="s">
        <v>132</v>
      </c>
      <c r="M1" t="s">
        <v>133</v>
      </c>
      <c r="N1" s="1" t="s">
        <v>144</v>
      </c>
      <c r="O1" s="2" t="s">
        <v>145</v>
      </c>
    </row>
    <row r="2" spans="1:15" x14ac:dyDescent="0.45">
      <c r="A2" t="s">
        <v>72</v>
      </c>
      <c r="B2">
        <v>105</v>
      </c>
      <c r="C2">
        <v>31</v>
      </c>
      <c r="D2">
        <v>0.79700000000000004</v>
      </c>
      <c r="E2">
        <v>65200</v>
      </c>
      <c r="F2">
        <v>120</v>
      </c>
      <c r="G2">
        <v>0.878</v>
      </c>
      <c r="H2">
        <v>0.32400000000000001</v>
      </c>
      <c r="I2">
        <v>2.8</v>
      </c>
      <c r="J2">
        <v>2.9</v>
      </c>
      <c r="K2">
        <v>3.5</v>
      </c>
      <c r="L2">
        <v>465</v>
      </c>
      <c r="M2" t="s">
        <v>134</v>
      </c>
      <c r="N2">
        <f t="shared" ref="N2:N33" si="0">AVERAGE(L2:M2)</f>
        <v>465</v>
      </c>
      <c r="O2">
        <f t="shared" ref="O2:O33" si="1">AVERAGE(M2:N2)</f>
        <v>465</v>
      </c>
    </row>
    <row r="3" spans="1:15" x14ac:dyDescent="0.45">
      <c r="A3" t="s">
        <v>100</v>
      </c>
      <c r="B3">
        <v>80</v>
      </c>
      <c r="C3">
        <v>42</v>
      </c>
      <c r="D3">
        <v>0.48</v>
      </c>
      <c r="E3">
        <v>76691</v>
      </c>
      <c r="F3">
        <v>109</v>
      </c>
      <c r="G3">
        <v>0.98199999999999998</v>
      </c>
      <c r="H3">
        <v>0.67900000000000005</v>
      </c>
      <c r="I3">
        <v>2.7</v>
      </c>
      <c r="J3">
        <v>2.8</v>
      </c>
      <c r="K3">
        <v>3.5</v>
      </c>
      <c r="L3">
        <v>495</v>
      </c>
      <c r="M3" t="s">
        <v>134</v>
      </c>
      <c r="N3">
        <f t="shared" si="0"/>
        <v>495</v>
      </c>
      <c r="O3">
        <f t="shared" si="1"/>
        <v>495</v>
      </c>
    </row>
    <row r="4" spans="1:15" x14ac:dyDescent="0.45">
      <c r="A4" t="s">
        <v>56</v>
      </c>
      <c r="B4">
        <v>60</v>
      </c>
      <c r="C4">
        <v>55</v>
      </c>
      <c r="D4">
        <v>0.315</v>
      </c>
      <c r="E4">
        <v>69256</v>
      </c>
      <c r="F4">
        <v>106</v>
      </c>
      <c r="G4">
        <v>0.96099999999999997</v>
      </c>
      <c r="H4">
        <v>0.76600000000000001</v>
      </c>
      <c r="I4">
        <v>3</v>
      </c>
      <c r="J4">
        <v>3.4</v>
      </c>
      <c r="K4">
        <v>3.8</v>
      </c>
      <c r="L4">
        <v>540</v>
      </c>
      <c r="M4" t="s">
        <v>134</v>
      </c>
      <c r="N4">
        <f t="shared" si="0"/>
        <v>540</v>
      </c>
      <c r="O4">
        <f t="shared" si="1"/>
        <v>540</v>
      </c>
    </row>
    <row r="5" spans="1:15" x14ac:dyDescent="0.45">
      <c r="A5" t="s">
        <v>16</v>
      </c>
      <c r="B5">
        <v>53</v>
      </c>
      <c r="C5">
        <v>56</v>
      </c>
      <c r="D5">
        <v>0.49399999999999999</v>
      </c>
      <c r="E5">
        <v>84580</v>
      </c>
      <c r="F5">
        <v>92</v>
      </c>
      <c r="G5">
        <v>0.96599999999999997</v>
      </c>
      <c r="H5">
        <v>0.58599999999999997</v>
      </c>
      <c r="I5">
        <v>2.6</v>
      </c>
      <c r="J5">
        <v>4</v>
      </c>
      <c r="K5">
        <v>3.7</v>
      </c>
      <c r="L5">
        <v>545</v>
      </c>
      <c r="M5" t="s">
        <v>134</v>
      </c>
      <c r="N5">
        <f t="shared" si="0"/>
        <v>545</v>
      </c>
      <c r="O5">
        <f t="shared" si="1"/>
        <v>545</v>
      </c>
    </row>
    <row r="6" spans="1:15" x14ac:dyDescent="0.45">
      <c r="A6" t="s">
        <v>104</v>
      </c>
      <c r="B6">
        <v>76</v>
      </c>
      <c r="C6">
        <v>45</v>
      </c>
      <c r="D6">
        <v>0.51</v>
      </c>
      <c r="E6">
        <v>84835</v>
      </c>
      <c r="F6">
        <v>100</v>
      </c>
      <c r="G6">
        <v>0.89400000000000002</v>
      </c>
      <c r="H6">
        <v>0.51100000000000001</v>
      </c>
      <c r="I6">
        <v>3</v>
      </c>
      <c r="J6">
        <v>3.2</v>
      </c>
      <c r="K6">
        <v>3.4</v>
      </c>
      <c r="L6">
        <v>550</v>
      </c>
      <c r="M6" t="s">
        <v>134</v>
      </c>
      <c r="N6">
        <f t="shared" si="0"/>
        <v>550</v>
      </c>
      <c r="O6">
        <f t="shared" si="1"/>
        <v>550</v>
      </c>
    </row>
    <row r="7" spans="1:15" x14ac:dyDescent="0.45">
      <c r="A7" t="s">
        <v>39</v>
      </c>
      <c r="B7">
        <v>38</v>
      </c>
      <c r="C7">
        <v>63</v>
      </c>
      <c r="D7">
        <v>0.73499999999999999</v>
      </c>
      <c r="E7">
        <v>82721</v>
      </c>
      <c r="F7">
        <v>87</v>
      </c>
      <c r="G7">
        <v>0.94499999999999995</v>
      </c>
      <c r="H7">
        <v>0.86299999999999999</v>
      </c>
      <c r="I7">
        <v>3</v>
      </c>
      <c r="J7">
        <v>4.0999999999999996</v>
      </c>
      <c r="K7">
        <v>3.7</v>
      </c>
      <c r="L7">
        <v>565</v>
      </c>
      <c r="M7" t="s">
        <v>134</v>
      </c>
      <c r="N7">
        <f t="shared" si="0"/>
        <v>565</v>
      </c>
      <c r="O7">
        <f t="shared" si="1"/>
        <v>565</v>
      </c>
    </row>
    <row r="8" spans="1:15" x14ac:dyDescent="0.45">
      <c r="A8" t="s">
        <v>87</v>
      </c>
      <c r="B8">
        <v>77</v>
      </c>
      <c r="C8">
        <v>43</v>
      </c>
      <c r="D8">
        <v>0.73</v>
      </c>
      <c r="E8">
        <v>104541</v>
      </c>
      <c r="F8">
        <v>71</v>
      </c>
      <c r="G8">
        <v>0.60199999999999998</v>
      </c>
      <c r="H8">
        <v>0.36399999999999999</v>
      </c>
      <c r="I8">
        <v>3.4</v>
      </c>
      <c r="J8">
        <v>3.4</v>
      </c>
      <c r="K8">
        <v>3.3</v>
      </c>
      <c r="L8">
        <v>565</v>
      </c>
      <c r="M8" t="s">
        <v>134</v>
      </c>
      <c r="N8">
        <f t="shared" si="0"/>
        <v>565</v>
      </c>
      <c r="O8">
        <f t="shared" si="1"/>
        <v>565</v>
      </c>
    </row>
    <row r="9" spans="1:15" x14ac:dyDescent="0.45">
      <c r="A9" t="s">
        <v>90</v>
      </c>
      <c r="B9">
        <v>39</v>
      </c>
      <c r="C9">
        <v>61</v>
      </c>
      <c r="D9">
        <v>0.13300000000000001</v>
      </c>
      <c r="E9">
        <v>141368</v>
      </c>
      <c r="F9">
        <v>45</v>
      </c>
      <c r="G9">
        <v>0.88300000000000001</v>
      </c>
      <c r="H9">
        <v>0.71699999999999997</v>
      </c>
      <c r="I9">
        <v>3.6</v>
      </c>
      <c r="J9">
        <v>3.4</v>
      </c>
      <c r="K9">
        <v>3.2</v>
      </c>
      <c r="L9">
        <v>575</v>
      </c>
      <c r="M9" t="s">
        <v>134</v>
      </c>
      <c r="N9">
        <f t="shared" si="0"/>
        <v>575</v>
      </c>
      <c r="O9">
        <f t="shared" si="1"/>
        <v>575</v>
      </c>
    </row>
    <row r="10" spans="1:15" x14ac:dyDescent="0.45">
      <c r="A10" t="s">
        <v>114</v>
      </c>
      <c r="B10">
        <v>43</v>
      </c>
      <c r="C10">
        <v>60</v>
      </c>
      <c r="D10">
        <v>0.374</v>
      </c>
      <c r="E10">
        <v>121961</v>
      </c>
      <c r="F10">
        <v>42</v>
      </c>
      <c r="G10">
        <v>0.83299999999999996</v>
      </c>
      <c r="H10">
        <v>0.58299999999999996</v>
      </c>
      <c r="I10">
        <v>3.3</v>
      </c>
      <c r="J10">
        <v>3.1</v>
      </c>
      <c r="K10">
        <v>3.7</v>
      </c>
      <c r="L10">
        <v>575</v>
      </c>
      <c r="M10" t="s">
        <v>134</v>
      </c>
      <c r="N10">
        <f t="shared" si="0"/>
        <v>575</v>
      </c>
      <c r="O10">
        <f t="shared" si="1"/>
        <v>575</v>
      </c>
    </row>
    <row r="11" spans="1:15" x14ac:dyDescent="0.45">
      <c r="A11" t="s">
        <v>92</v>
      </c>
      <c r="B11">
        <v>51</v>
      </c>
      <c r="C11">
        <v>57</v>
      </c>
      <c r="D11">
        <v>0.65400000000000003</v>
      </c>
      <c r="E11">
        <v>88935</v>
      </c>
      <c r="F11">
        <v>87</v>
      </c>
      <c r="G11">
        <v>0.95899999999999996</v>
      </c>
      <c r="H11">
        <v>0.79600000000000004</v>
      </c>
      <c r="I11">
        <v>3</v>
      </c>
      <c r="J11">
        <v>3.3</v>
      </c>
      <c r="K11">
        <v>3.6</v>
      </c>
      <c r="L11">
        <v>575</v>
      </c>
      <c r="M11" t="s">
        <v>134</v>
      </c>
      <c r="N11">
        <f t="shared" si="0"/>
        <v>575</v>
      </c>
      <c r="O11">
        <f t="shared" si="1"/>
        <v>575</v>
      </c>
    </row>
    <row r="12" spans="1:15" x14ac:dyDescent="0.45">
      <c r="A12" t="s">
        <v>71</v>
      </c>
      <c r="B12">
        <v>60</v>
      </c>
      <c r="C12">
        <v>55</v>
      </c>
      <c r="D12">
        <v>0.27400000000000002</v>
      </c>
      <c r="E12">
        <v>135308</v>
      </c>
      <c r="F12">
        <v>48</v>
      </c>
      <c r="G12">
        <v>0.91800000000000004</v>
      </c>
      <c r="H12">
        <v>0.73499999999999999</v>
      </c>
      <c r="I12">
        <v>2.9</v>
      </c>
      <c r="J12">
        <v>3</v>
      </c>
      <c r="K12">
        <v>3.3</v>
      </c>
      <c r="L12">
        <v>575</v>
      </c>
      <c r="M12" t="s">
        <v>134</v>
      </c>
      <c r="N12">
        <f t="shared" si="0"/>
        <v>575</v>
      </c>
      <c r="O12">
        <f t="shared" si="1"/>
        <v>575</v>
      </c>
    </row>
    <row r="13" spans="1:15" x14ac:dyDescent="0.45">
      <c r="A13" t="s">
        <v>116</v>
      </c>
      <c r="B13">
        <v>39</v>
      </c>
      <c r="C13">
        <v>61</v>
      </c>
      <c r="D13">
        <v>0.77700000000000002</v>
      </c>
      <c r="E13">
        <v>114027</v>
      </c>
      <c r="F13">
        <v>56</v>
      </c>
      <c r="G13">
        <v>0.92300000000000004</v>
      </c>
      <c r="H13">
        <v>0.59599999999999997</v>
      </c>
      <c r="I13">
        <v>3.3</v>
      </c>
      <c r="J13">
        <v>3.4</v>
      </c>
      <c r="K13">
        <v>3.6</v>
      </c>
      <c r="L13">
        <v>585</v>
      </c>
      <c r="M13" t="s">
        <v>134</v>
      </c>
      <c r="N13">
        <f t="shared" si="0"/>
        <v>585</v>
      </c>
      <c r="O13">
        <f t="shared" si="1"/>
        <v>585</v>
      </c>
    </row>
    <row r="14" spans="1:15" x14ac:dyDescent="0.45">
      <c r="A14" t="s">
        <v>33</v>
      </c>
      <c r="B14">
        <v>60</v>
      </c>
      <c r="C14">
        <v>55</v>
      </c>
      <c r="D14">
        <v>0.67100000000000004</v>
      </c>
      <c r="E14">
        <v>135866</v>
      </c>
      <c r="F14">
        <v>51</v>
      </c>
      <c r="G14">
        <v>0.84</v>
      </c>
      <c r="H14">
        <v>0.50700000000000001</v>
      </c>
      <c r="I14">
        <v>3.2</v>
      </c>
      <c r="J14">
        <v>3.2</v>
      </c>
      <c r="K14">
        <v>3.3</v>
      </c>
      <c r="L14">
        <v>585</v>
      </c>
      <c r="M14" t="s">
        <v>134</v>
      </c>
      <c r="N14">
        <f t="shared" si="0"/>
        <v>585</v>
      </c>
      <c r="O14">
        <f t="shared" si="1"/>
        <v>585</v>
      </c>
    </row>
    <row r="15" spans="1:15" x14ac:dyDescent="0.45">
      <c r="A15" t="s">
        <v>5</v>
      </c>
      <c r="B15">
        <v>74</v>
      </c>
      <c r="C15">
        <v>47</v>
      </c>
      <c r="D15">
        <v>0.187</v>
      </c>
      <c r="E15">
        <v>86823</v>
      </c>
      <c r="F15">
        <v>87</v>
      </c>
      <c r="G15">
        <v>0.78700000000000003</v>
      </c>
      <c r="H15">
        <v>0.52</v>
      </c>
      <c r="I15">
        <v>3.2</v>
      </c>
      <c r="J15">
        <v>3</v>
      </c>
      <c r="K15">
        <v>3.5</v>
      </c>
      <c r="L15">
        <v>585</v>
      </c>
      <c r="M15" t="s">
        <v>134</v>
      </c>
      <c r="N15">
        <f t="shared" si="0"/>
        <v>585</v>
      </c>
      <c r="O15">
        <f t="shared" si="1"/>
        <v>585</v>
      </c>
    </row>
    <row r="16" spans="1:15" x14ac:dyDescent="0.45">
      <c r="A16" t="s">
        <v>119</v>
      </c>
      <c r="B16">
        <v>48</v>
      </c>
      <c r="C16">
        <v>58</v>
      </c>
      <c r="D16">
        <v>0.502</v>
      </c>
      <c r="E16">
        <v>127795</v>
      </c>
      <c r="F16">
        <v>42</v>
      </c>
      <c r="G16">
        <v>0.71099999999999997</v>
      </c>
      <c r="H16">
        <v>0.49199999999999999</v>
      </c>
      <c r="I16">
        <v>3.6</v>
      </c>
      <c r="J16">
        <v>3.4</v>
      </c>
      <c r="K16">
        <v>3.5</v>
      </c>
      <c r="L16">
        <v>595</v>
      </c>
      <c r="M16" t="s">
        <v>134</v>
      </c>
      <c r="N16">
        <f t="shared" si="0"/>
        <v>595</v>
      </c>
      <c r="O16">
        <f t="shared" si="1"/>
        <v>595</v>
      </c>
    </row>
    <row r="17" spans="1:15" x14ac:dyDescent="0.45">
      <c r="A17" t="s">
        <v>107</v>
      </c>
      <c r="B17">
        <v>48</v>
      </c>
      <c r="C17">
        <v>58</v>
      </c>
      <c r="D17">
        <v>0.49299999999999999</v>
      </c>
      <c r="E17">
        <v>121143</v>
      </c>
      <c r="F17">
        <v>54</v>
      </c>
      <c r="G17">
        <v>0.73799999999999999</v>
      </c>
      <c r="H17">
        <v>0.52500000000000002</v>
      </c>
      <c r="I17">
        <v>3.3</v>
      </c>
      <c r="J17">
        <v>3.5</v>
      </c>
      <c r="K17">
        <v>3.6</v>
      </c>
      <c r="L17">
        <v>600</v>
      </c>
      <c r="M17" t="s">
        <v>134</v>
      </c>
      <c r="N17">
        <f t="shared" si="0"/>
        <v>600</v>
      </c>
      <c r="O17">
        <f t="shared" si="1"/>
        <v>600</v>
      </c>
    </row>
    <row r="18" spans="1:15" x14ac:dyDescent="0.45">
      <c r="A18" t="s">
        <v>48</v>
      </c>
      <c r="B18">
        <v>43</v>
      </c>
      <c r="C18">
        <v>60</v>
      </c>
      <c r="D18">
        <v>0.124</v>
      </c>
      <c r="E18">
        <v>130035</v>
      </c>
      <c r="F18">
        <v>27</v>
      </c>
      <c r="G18">
        <v>0.755</v>
      </c>
      <c r="H18">
        <v>0.57799999999999996</v>
      </c>
      <c r="I18">
        <v>3.4</v>
      </c>
      <c r="J18">
        <v>3.3</v>
      </c>
      <c r="K18">
        <v>3.4</v>
      </c>
      <c r="L18">
        <v>605</v>
      </c>
      <c r="M18" t="s">
        <v>134</v>
      </c>
      <c r="N18">
        <f t="shared" si="0"/>
        <v>605</v>
      </c>
      <c r="O18">
        <f t="shared" si="1"/>
        <v>605</v>
      </c>
    </row>
    <row r="19" spans="1:15" x14ac:dyDescent="0.45">
      <c r="A19" t="s">
        <v>10</v>
      </c>
      <c r="B19">
        <v>53</v>
      </c>
      <c r="C19">
        <v>56</v>
      </c>
      <c r="D19">
        <v>0.54800000000000004</v>
      </c>
      <c r="E19">
        <v>131400</v>
      </c>
      <c r="F19">
        <v>56</v>
      </c>
      <c r="G19">
        <v>0.80600000000000005</v>
      </c>
      <c r="H19">
        <v>0.65900000000000003</v>
      </c>
      <c r="I19">
        <v>3.4</v>
      </c>
      <c r="J19">
        <v>3.2</v>
      </c>
      <c r="K19">
        <v>3.1</v>
      </c>
      <c r="L19">
        <v>605</v>
      </c>
      <c r="M19" t="s">
        <v>134</v>
      </c>
      <c r="N19">
        <f t="shared" si="0"/>
        <v>605</v>
      </c>
      <c r="O19">
        <f t="shared" si="1"/>
        <v>605</v>
      </c>
    </row>
    <row r="20" spans="1:15" x14ac:dyDescent="0.45">
      <c r="A20" t="s">
        <v>38</v>
      </c>
      <c r="B20">
        <v>21</v>
      </c>
      <c r="C20">
        <v>76</v>
      </c>
      <c r="D20">
        <v>0.26600000000000001</v>
      </c>
      <c r="E20">
        <v>161422</v>
      </c>
      <c r="F20">
        <v>32</v>
      </c>
      <c r="G20">
        <v>0.89100000000000001</v>
      </c>
      <c r="H20">
        <v>0.749</v>
      </c>
      <c r="I20">
        <v>3.9</v>
      </c>
      <c r="J20">
        <v>3.6</v>
      </c>
      <c r="K20">
        <v>3.5</v>
      </c>
      <c r="L20">
        <v>615</v>
      </c>
      <c r="M20" t="s">
        <v>134</v>
      </c>
      <c r="N20">
        <f t="shared" si="0"/>
        <v>615</v>
      </c>
      <c r="O20">
        <f t="shared" si="1"/>
        <v>615</v>
      </c>
    </row>
    <row r="21" spans="1:15" x14ac:dyDescent="0.45">
      <c r="A21" t="s">
        <v>61</v>
      </c>
      <c r="B21">
        <v>29</v>
      </c>
      <c r="C21">
        <v>69</v>
      </c>
      <c r="D21">
        <v>0.34200000000000003</v>
      </c>
      <c r="E21">
        <v>171968</v>
      </c>
      <c r="F21">
        <v>20</v>
      </c>
      <c r="G21">
        <v>0.71799999999999997</v>
      </c>
      <c r="H21">
        <v>0.57499999999999996</v>
      </c>
      <c r="I21">
        <v>3.6</v>
      </c>
      <c r="J21">
        <v>3.4</v>
      </c>
      <c r="K21">
        <v>3.5</v>
      </c>
      <c r="L21">
        <v>615</v>
      </c>
      <c r="M21" t="s">
        <v>134</v>
      </c>
      <c r="N21">
        <f t="shared" si="0"/>
        <v>615</v>
      </c>
      <c r="O21">
        <f t="shared" si="1"/>
        <v>615</v>
      </c>
    </row>
    <row r="22" spans="1:15" x14ac:dyDescent="0.45">
      <c r="A22" t="s">
        <v>99</v>
      </c>
      <c r="B22">
        <v>32</v>
      </c>
      <c r="C22">
        <v>67</v>
      </c>
      <c r="D22">
        <v>0.39500000000000002</v>
      </c>
      <c r="E22">
        <v>157874</v>
      </c>
      <c r="F22">
        <v>34</v>
      </c>
      <c r="G22">
        <v>0.752</v>
      </c>
      <c r="H22">
        <v>0.55200000000000005</v>
      </c>
      <c r="I22">
        <v>3.6</v>
      </c>
      <c r="J22">
        <v>3.3</v>
      </c>
      <c r="K22">
        <v>3.6</v>
      </c>
      <c r="L22">
        <v>615</v>
      </c>
      <c r="M22" t="s">
        <v>134</v>
      </c>
      <c r="N22">
        <f t="shared" si="0"/>
        <v>615</v>
      </c>
      <c r="O22">
        <f t="shared" si="1"/>
        <v>615</v>
      </c>
    </row>
    <row r="23" spans="1:15" x14ac:dyDescent="0.45">
      <c r="A23" t="s">
        <v>81</v>
      </c>
      <c r="B23">
        <v>51</v>
      </c>
      <c r="C23">
        <v>57</v>
      </c>
      <c r="D23">
        <v>0.26400000000000001</v>
      </c>
      <c r="E23">
        <v>139750</v>
      </c>
      <c r="F23">
        <v>27</v>
      </c>
      <c r="G23">
        <v>0.64600000000000002</v>
      </c>
      <c r="H23">
        <v>0.47899999999999998</v>
      </c>
      <c r="I23">
        <v>3.3</v>
      </c>
      <c r="J23">
        <v>3.4</v>
      </c>
      <c r="K23">
        <v>3.3</v>
      </c>
      <c r="L23">
        <v>615</v>
      </c>
      <c r="M23" t="s">
        <v>134</v>
      </c>
      <c r="N23">
        <f t="shared" si="0"/>
        <v>615</v>
      </c>
      <c r="O23">
        <f t="shared" si="1"/>
        <v>615</v>
      </c>
    </row>
    <row r="24" spans="1:15" x14ac:dyDescent="0.45">
      <c r="A24" t="s">
        <v>63</v>
      </c>
      <c r="B24">
        <v>63</v>
      </c>
      <c r="C24">
        <v>54</v>
      </c>
      <c r="D24">
        <v>0.45600000000000002</v>
      </c>
      <c r="E24">
        <v>112412</v>
      </c>
      <c r="F24">
        <v>54</v>
      </c>
      <c r="G24">
        <v>0.83299999999999996</v>
      </c>
      <c r="H24">
        <v>0.59499999999999997</v>
      </c>
      <c r="I24">
        <v>3</v>
      </c>
      <c r="J24">
        <v>3.2</v>
      </c>
      <c r="K24">
        <v>3.3</v>
      </c>
      <c r="L24">
        <v>615</v>
      </c>
      <c r="M24" t="s">
        <v>134</v>
      </c>
      <c r="N24">
        <f t="shared" si="0"/>
        <v>615</v>
      </c>
      <c r="O24">
        <f t="shared" si="1"/>
        <v>615</v>
      </c>
    </row>
    <row r="25" spans="1:15" x14ac:dyDescent="0.45">
      <c r="A25" t="s">
        <v>35</v>
      </c>
      <c r="B25">
        <v>31</v>
      </c>
      <c r="C25">
        <v>68</v>
      </c>
      <c r="D25">
        <v>0.64400000000000002</v>
      </c>
      <c r="E25">
        <v>169866</v>
      </c>
      <c r="F25">
        <v>26</v>
      </c>
      <c r="G25">
        <v>0.8</v>
      </c>
      <c r="H25">
        <v>0.53900000000000003</v>
      </c>
      <c r="I25">
        <v>3.8</v>
      </c>
      <c r="J25">
        <v>3.6</v>
      </c>
      <c r="K25">
        <v>3.3</v>
      </c>
      <c r="L25">
        <v>625</v>
      </c>
      <c r="M25" t="s">
        <v>134</v>
      </c>
      <c r="N25">
        <f t="shared" si="0"/>
        <v>625</v>
      </c>
      <c r="O25">
        <f t="shared" si="1"/>
        <v>625</v>
      </c>
    </row>
    <row r="26" spans="1:15" x14ac:dyDescent="0.45">
      <c r="A26" t="s">
        <v>108</v>
      </c>
      <c r="B26">
        <v>34</v>
      </c>
      <c r="C26">
        <v>66</v>
      </c>
      <c r="D26">
        <v>0.13300000000000001</v>
      </c>
      <c r="E26">
        <v>150703</v>
      </c>
      <c r="F26">
        <v>33</v>
      </c>
      <c r="G26">
        <v>0.874</v>
      </c>
      <c r="H26">
        <v>0.60599999999999998</v>
      </c>
      <c r="I26">
        <v>3.3</v>
      </c>
      <c r="J26">
        <v>3.1</v>
      </c>
      <c r="K26">
        <v>3.5</v>
      </c>
      <c r="L26">
        <v>625</v>
      </c>
      <c r="M26" t="s">
        <v>134</v>
      </c>
      <c r="N26">
        <f t="shared" si="0"/>
        <v>625</v>
      </c>
      <c r="O26">
        <f t="shared" si="1"/>
        <v>625</v>
      </c>
    </row>
    <row r="27" spans="1:15" x14ac:dyDescent="0.45">
      <c r="A27" t="s">
        <v>13</v>
      </c>
      <c r="B27">
        <v>39</v>
      </c>
      <c r="C27">
        <v>61</v>
      </c>
      <c r="D27">
        <v>0.439</v>
      </c>
      <c r="E27">
        <v>136878</v>
      </c>
      <c r="F27">
        <v>37</v>
      </c>
      <c r="G27">
        <v>0.85799999999999998</v>
      </c>
      <c r="H27">
        <v>0.64800000000000002</v>
      </c>
      <c r="I27">
        <v>3.1</v>
      </c>
      <c r="J27">
        <v>3</v>
      </c>
      <c r="K27">
        <v>3.6</v>
      </c>
      <c r="L27">
        <v>625</v>
      </c>
      <c r="M27" t="s">
        <v>134</v>
      </c>
      <c r="N27">
        <f t="shared" si="0"/>
        <v>625</v>
      </c>
      <c r="O27">
        <f t="shared" si="1"/>
        <v>625</v>
      </c>
    </row>
    <row r="28" spans="1:15" x14ac:dyDescent="0.45">
      <c r="A28" t="s">
        <v>115</v>
      </c>
      <c r="B28">
        <v>23</v>
      </c>
      <c r="C28">
        <v>75</v>
      </c>
      <c r="D28">
        <v>0.35499999999999998</v>
      </c>
      <c r="E28">
        <v>132733</v>
      </c>
      <c r="F28">
        <v>37</v>
      </c>
      <c r="G28">
        <v>0.93600000000000005</v>
      </c>
      <c r="H28">
        <v>0.78700000000000003</v>
      </c>
      <c r="I28">
        <v>3.1</v>
      </c>
      <c r="J28">
        <v>4.3</v>
      </c>
      <c r="K28">
        <v>3.6</v>
      </c>
      <c r="L28">
        <v>631</v>
      </c>
      <c r="M28" t="s">
        <v>134</v>
      </c>
      <c r="N28">
        <f t="shared" si="0"/>
        <v>631</v>
      </c>
      <c r="O28">
        <f t="shared" si="1"/>
        <v>631</v>
      </c>
    </row>
    <row r="29" spans="1:15" x14ac:dyDescent="0.45">
      <c r="A29" t="s">
        <v>11</v>
      </c>
      <c r="B29">
        <v>46</v>
      </c>
      <c r="C29">
        <v>59</v>
      </c>
      <c r="D29">
        <v>0.372</v>
      </c>
      <c r="E29">
        <v>125644</v>
      </c>
      <c r="F29">
        <v>48</v>
      </c>
      <c r="G29">
        <v>0.83199999999999996</v>
      </c>
      <c r="H29">
        <v>0.42099999999999999</v>
      </c>
      <c r="I29">
        <v>3.4</v>
      </c>
      <c r="J29">
        <v>3.1</v>
      </c>
      <c r="K29">
        <v>3.5</v>
      </c>
      <c r="L29">
        <v>635</v>
      </c>
      <c r="M29" t="s">
        <v>134</v>
      </c>
      <c r="N29">
        <f t="shared" si="0"/>
        <v>635</v>
      </c>
      <c r="O29">
        <f t="shared" si="1"/>
        <v>635</v>
      </c>
    </row>
    <row r="30" spans="1:15" x14ac:dyDescent="0.45">
      <c r="A30" t="s">
        <v>76</v>
      </c>
      <c r="B30">
        <v>53</v>
      </c>
      <c r="C30">
        <v>56</v>
      </c>
      <c r="D30">
        <v>0.63200000000000001</v>
      </c>
      <c r="E30">
        <v>77843</v>
      </c>
      <c r="F30">
        <v>112</v>
      </c>
      <c r="G30">
        <v>0.88</v>
      </c>
      <c r="H30">
        <v>0.72699999999999998</v>
      </c>
      <c r="I30">
        <v>3.1</v>
      </c>
      <c r="J30">
        <v>3.1</v>
      </c>
      <c r="K30">
        <v>3.8</v>
      </c>
      <c r="L30">
        <v>595</v>
      </c>
      <c r="M30">
        <v>660</v>
      </c>
      <c r="N30">
        <f t="shared" si="0"/>
        <v>627.5</v>
      </c>
      <c r="O30">
        <f t="shared" si="1"/>
        <v>643.75</v>
      </c>
    </row>
    <row r="31" spans="1:15" x14ac:dyDescent="0.45">
      <c r="A31" t="s">
        <v>103</v>
      </c>
      <c r="B31">
        <v>34</v>
      </c>
      <c r="C31">
        <v>66</v>
      </c>
      <c r="D31">
        <v>0.33800000000000002</v>
      </c>
      <c r="E31">
        <v>164301</v>
      </c>
      <c r="F31">
        <v>27</v>
      </c>
      <c r="G31">
        <v>0.71499999999999997</v>
      </c>
      <c r="H31">
        <v>0.60499999999999998</v>
      </c>
      <c r="I31">
        <v>3.7</v>
      </c>
      <c r="J31">
        <v>3.4</v>
      </c>
      <c r="K31">
        <v>3.4</v>
      </c>
      <c r="L31">
        <v>645</v>
      </c>
      <c r="M31" t="s">
        <v>134</v>
      </c>
      <c r="N31">
        <f t="shared" si="0"/>
        <v>645</v>
      </c>
      <c r="O31">
        <f t="shared" si="1"/>
        <v>645</v>
      </c>
    </row>
    <row r="32" spans="1:15" x14ac:dyDescent="0.45">
      <c r="A32" t="s">
        <v>64</v>
      </c>
      <c r="B32">
        <v>36</v>
      </c>
      <c r="C32">
        <v>65</v>
      </c>
      <c r="D32">
        <v>0.27100000000000002</v>
      </c>
      <c r="E32">
        <v>148020</v>
      </c>
      <c r="F32">
        <v>36</v>
      </c>
      <c r="G32">
        <v>0.84</v>
      </c>
      <c r="H32">
        <v>0.60599999999999998</v>
      </c>
      <c r="I32">
        <v>3.2</v>
      </c>
      <c r="J32">
        <v>3</v>
      </c>
      <c r="K32">
        <v>3.5</v>
      </c>
      <c r="L32">
        <v>645</v>
      </c>
      <c r="M32" t="s">
        <v>134</v>
      </c>
      <c r="N32">
        <f t="shared" si="0"/>
        <v>645</v>
      </c>
      <c r="O32">
        <f t="shared" si="1"/>
        <v>645</v>
      </c>
    </row>
    <row r="33" spans="1:15" x14ac:dyDescent="0.45">
      <c r="A33" t="s">
        <v>29</v>
      </c>
      <c r="B33">
        <v>14</v>
      </c>
      <c r="C33">
        <v>84</v>
      </c>
      <c r="D33">
        <v>0.24</v>
      </c>
      <c r="E33">
        <v>190778</v>
      </c>
      <c r="F33">
        <v>13</v>
      </c>
      <c r="G33">
        <v>0.80800000000000005</v>
      </c>
      <c r="H33">
        <v>0.71</v>
      </c>
      <c r="I33">
        <v>4.3</v>
      </c>
      <c r="J33">
        <v>4</v>
      </c>
      <c r="K33">
        <v>3.6</v>
      </c>
      <c r="L33">
        <v>655</v>
      </c>
      <c r="M33" t="s">
        <v>134</v>
      </c>
      <c r="N33">
        <f t="shared" si="0"/>
        <v>655</v>
      </c>
      <c r="O33">
        <f t="shared" si="1"/>
        <v>655</v>
      </c>
    </row>
    <row r="34" spans="1:15" x14ac:dyDescent="0.45">
      <c r="A34" t="s">
        <v>15</v>
      </c>
      <c r="B34">
        <v>16</v>
      </c>
      <c r="C34">
        <v>79</v>
      </c>
      <c r="D34">
        <v>0.24299999999999999</v>
      </c>
      <c r="E34">
        <v>184392</v>
      </c>
      <c r="F34">
        <v>15</v>
      </c>
      <c r="G34">
        <v>0.79700000000000004</v>
      </c>
      <c r="H34">
        <v>0.60499999999999998</v>
      </c>
      <c r="I34">
        <v>4.0999999999999996</v>
      </c>
      <c r="J34">
        <v>3.9</v>
      </c>
      <c r="K34">
        <v>3.4</v>
      </c>
      <c r="L34">
        <v>655</v>
      </c>
      <c r="M34" t="s">
        <v>134</v>
      </c>
      <c r="N34">
        <f t="shared" ref="N34:N65" si="2">AVERAGE(L34:M34)</f>
        <v>655</v>
      </c>
      <c r="O34">
        <f t="shared" ref="O34:O65" si="3">AVERAGE(M34:N34)</f>
        <v>655</v>
      </c>
    </row>
    <row r="35" spans="1:15" x14ac:dyDescent="0.45">
      <c r="A35" t="s">
        <v>120</v>
      </c>
      <c r="B35">
        <v>16</v>
      </c>
      <c r="C35">
        <v>79</v>
      </c>
      <c r="D35">
        <v>0.36199999999999999</v>
      </c>
      <c r="E35">
        <v>180909</v>
      </c>
      <c r="F35">
        <v>16</v>
      </c>
      <c r="G35">
        <v>0.879</v>
      </c>
      <c r="H35">
        <v>0.78500000000000003</v>
      </c>
      <c r="I35">
        <v>3.8</v>
      </c>
      <c r="J35">
        <v>3.4</v>
      </c>
      <c r="K35">
        <v>3.5</v>
      </c>
      <c r="L35">
        <v>655</v>
      </c>
      <c r="M35" t="s">
        <v>134</v>
      </c>
      <c r="N35">
        <f t="shared" si="2"/>
        <v>655</v>
      </c>
      <c r="O35">
        <f t="shared" si="3"/>
        <v>655</v>
      </c>
    </row>
    <row r="36" spans="1:15" x14ac:dyDescent="0.45">
      <c r="A36" t="s">
        <v>73</v>
      </c>
      <c r="B36">
        <v>18</v>
      </c>
      <c r="C36">
        <v>78</v>
      </c>
      <c r="D36">
        <v>0.32700000000000001</v>
      </c>
      <c r="E36">
        <v>177762</v>
      </c>
      <c r="F36">
        <v>16</v>
      </c>
      <c r="G36">
        <v>0.78200000000000003</v>
      </c>
      <c r="H36">
        <v>0.65500000000000003</v>
      </c>
      <c r="I36">
        <v>4</v>
      </c>
      <c r="J36">
        <v>3.9</v>
      </c>
      <c r="K36">
        <v>3.5</v>
      </c>
      <c r="L36">
        <v>655</v>
      </c>
      <c r="M36" t="s">
        <v>134</v>
      </c>
      <c r="N36">
        <f t="shared" si="2"/>
        <v>655</v>
      </c>
      <c r="O36">
        <f t="shared" si="3"/>
        <v>655</v>
      </c>
    </row>
    <row r="37" spans="1:15" x14ac:dyDescent="0.45">
      <c r="A37" t="s">
        <v>118</v>
      </c>
      <c r="B37">
        <v>20</v>
      </c>
      <c r="C37">
        <v>77</v>
      </c>
      <c r="D37">
        <v>0.33600000000000002</v>
      </c>
      <c r="E37">
        <v>178088</v>
      </c>
      <c r="F37">
        <v>16</v>
      </c>
      <c r="G37">
        <v>0.83299999999999996</v>
      </c>
      <c r="H37">
        <v>0.70399999999999996</v>
      </c>
      <c r="I37">
        <v>3.7</v>
      </c>
      <c r="J37">
        <v>3.4</v>
      </c>
      <c r="K37">
        <v>3.4</v>
      </c>
      <c r="L37">
        <v>655</v>
      </c>
      <c r="M37" t="s">
        <v>134</v>
      </c>
      <c r="N37">
        <f t="shared" si="2"/>
        <v>655</v>
      </c>
      <c r="O37">
        <f t="shared" si="3"/>
        <v>655</v>
      </c>
    </row>
    <row r="38" spans="1:15" x14ac:dyDescent="0.45">
      <c r="A38" t="s">
        <v>102</v>
      </c>
      <c r="B38">
        <v>21</v>
      </c>
      <c r="C38">
        <v>76</v>
      </c>
      <c r="D38">
        <v>0.379</v>
      </c>
      <c r="E38">
        <v>165888</v>
      </c>
      <c r="F38">
        <v>31</v>
      </c>
      <c r="G38">
        <v>0.84699999999999998</v>
      </c>
      <c r="H38">
        <v>0.69499999999999995</v>
      </c>
      <c r="I38">
        <v>4</v>
      </c>
      <c r="J38">
        <v>3.5</v>
      </c>
      <c r="K38">
        <v>3.5</v>
      </c>
      <c r="L38">
        <v>655</v>
      </c>
      <c r="M38" t="s">
        <v>134</v>
      </c>
      <c r="N38">
        <f t="shared" si="2"/>
        <v>655</v>
      </c>
      <c r="O38">
        <f t="shared" si="3"/>
        <v>655</v>
      </c>
    </row>
    <row r="39" spans="1:15" x14ac:dyDescent="0.45">
      <c r="A39" t="s">
        <v>31</v>
      </c>
      <c r="B39">
        <v>23</v>
      </c>
      <c r="C39">
        <v>75</v>
      </c>
      <c r="D39">
        <v>0.33200000000000002</v>
      </c>
      <c r="E39">
        <v>181550</v>
      </c>
      <c r="F39">
        <v>22</v>
      </c>
      <c r="G39">
        <v>0.80700000000000005</v>
      </c>
      <c r="H39">
        <v>0.66300000000000003</v>
      </c>
      <c r="I39">
        <v>3.8</v>
      </c>
      <c r="J39">
        <v>3.5</v>
      </c>
      <c r="K39">
        <v>3.5</v>
      </c>
      <c r="L39">
        <v>655</v>
      </c>
      <c r="M39" t="s">
        <v>134</v>
      </c>
      <c r="N39">
        <f t="shared" si="2"/>
        <v>655</v>
      </c>
      <c r="O39">
        <f t="shared" si="3"/>
        <v>655</v>
      </c>
    </row>
    <row r="40" spans="1:15" x14ac:dyDescent="0.45">
      <c r="A40" t="s">
        <v>91</v>
      </c>
      <c r="B40">
        <v>25</v>
      </c>
      <c r="C40">
        <v>74</v>
      </c>
      <c r="D40">
        <v>0.23899999999999999</v>
      </c>
      <c r="E40">
        <v>146363</v>
      </c>
      <c r="F40">
        <v>45</v>
      </c>
      <c r="G40">
        <v>0.93300000000000005</v>
      </c>
      <c r="H40">
        <v>0.86699999999999999</v>
      </c>
      <c r="I40">
        <v>3.5</v>
      </c>
      <c r="J40">
        <v>3.4</v>
      </c>
      <c r="K40">
        <v>3.6</v>
      </c>
      <c r="L40">
        <v>655</v>
      </c>
      <c r="M40" t="s">
        <v>134</v>
      </c>
      <c r="N40">
        <f t="shared" si="2"/>
        <v>655</v>
      </c>
      <c r="O40">
        <f t="shared" si="3"/>
        <v>655</v>
      </c>
    </row>
    <row r="41" spans="1:15" x14ac:dyDescent="0.45">
      <c r="A41" t="s">
        <v>36</v>
      </c>
      <c r="B41">
        <v>27</v>
      </c>
      <c r="C41">
        <v>73</v>
      </c>
      <c r="D41">
        <v>0.17799999999999999</v>
      </c>
      <c r="E41">
        <v>163531</v>
      </c>
      <c r="F41">
        <v>25</v>
      </c>
      <c r="G41">
        <v>0.85599999999999998</v>
      </c>
      <c r="H41">
        <v>0.66700000000000004</v>
      </c>
      <c r="I41">
        <v>3.7</v>
      </c>
      <c r="J41">
        <v>3.5</v>
      </c>
      <c r="K41">
        <v>3.3</v>
      </c>
      <c r="L41">
        <v>655</v>
      </c>
      <c r="M41" t="s">
        <v>134</v>
      </c>
      <c r="N41">
        <f t="shared" si="2"/>
        <v>655</v>
      </c>
      <c r="O41">
        <f t="shared" si="3"/>
        <v>655</v>
      </c>
    </row>
    <row r="42" spans="1:15" x14ac:dyDescent="0.45">
      <c r="A42" t="s">
        <v>82</v>
      </c>
      <c r="B42">
        <v>18</v>
      </c>
      <c r="C42">
        <v>78</v>
      </c>
      <c r="D42">
        <v>0.31</v>
      </c>
      <c r="E42">
        <v>173174</v>
      </c>
      <c r="F42">
        <v>16</v>
      </c>
      <c r="G42">
        <v>0.75700000000000001</v>
      </c>
      <c r="H42">
        <v>0.56599999999999995</v>
      </c>
      <c r="I42">
        <v>4.2</v>
      </c>
      <c r="J42">
        <v>3.9</v>
      </c>
      <c r="K42">
        <v>3.5</v>
      </c>
      <c r="L42">
        <v>660</v>
      </c>
      <c r="M42" t="s">
        <v>134</v>
      </c>
      <c r="N42">
        <f t="shared" si="2"/>
        <v>660</v>
      </c>
      <c r="O42">
        <f t="shared" si="3"/>
        <v>660</v>
      </c>
    </row>
    <row r="43" spans="1:15" x14ac:dyDescent="0.45">
      <c r="A43" t="s">
        <v>27</v>
      </c>
      <c r="B43">
        <v>9</v>
      </c>
      <c r="C43">
        <v>90</v>
      </c>
      <c r="D43">
        <v>0.28299999999999997</v>
      </c>
      <c r="E43">
        <v>198517</v>
      </c>
      <c r="F43">
        <v>7</v>
      </c>
      <c r="G43">
        <v>0.877</v>
      </c>
      <c r="H43">
        <v>0.77200000000000002</v>
      </c>
      <c r="I43">
        <v>4.0999999999999996</v>
      </c>
      <c r="J43">
        <v>4.2</v>
      </c>
      <c r="K43">
        <v>3.6</v>
      </c>
      <c r="L43">
        <v>675</v>
      </c>
      <c r="M43" t="s">
        <v>134</v>
      </c>
      <c r="N43">
        <f t="shared" si="2"/>
        <v>675</v>
      </c>
      <c r="O43">
        <f t="shared" si="3"/>
        <v>675</v>
      </c>
    </row>
    <row r="44" spans="1:15" x14ac:dyDescent="0.45">
      <c r="A44" t="s">
        <v>79</v>
      </c>
      <c r="B44">
        <v>10</v>
      </c>
      <c r="C44">
        <v>89</v>
      </c>
      <c r="D44">
        <v>0.214</v>
      </c>
      <c r="E44">
        <v>187801</v>
      </c>
      <c r="F44">
        <v>5</v>
      </c>
      <c r="G44">
        <v>0.83799999999999997</v>
      </c>
      <c r="H44">
        <v>0.64300000000000002</v>
      </c>
      <c r="I44">
        <v>4.5</v>
      </c>
      <c r="J44">
        <v>4.0999999999999996</v>
      </c>
      <c r="K44">
        <v>3.7</v>
      </c>
      <c r="L44">
        <v>675</v>
      </c>
      <c r="M44" t="s">
        <v>134</v>
      </c>
      <c r="N44">
        <f t="shared" si="2"/>
        <v>675</v>
      </c>
      <c r="O44">
        <f t="shared" si="3"/>
        <v>675</v>
      </c>
    </row>
    <row r="45" spans="1:15" x14ac:dyDescent="0.45">
      <c r="A45" t="s">
        <v>121</v>
      </c>
      <c r="B45">
        <v>27</v>
      </c>
      <c r="C45">
        <v>73</v>
      </c>
      <c r="D45">
        <v>0.17799999999999999</v>
      </c>
      <c r="E45">
        <v>146604</v>
      </c>
      <c r="F45">
        <v>42</v>
      </c>
      <c r="G45">
        <v>0.76300000000000001</v>
      </c>
      <c r="H45">
        <v>0.58499999999999996</v>
      </c>
      <c r="I45">
        <v>3.7</v>
      </c>
      <c r="J45">
        <v>3.5</v>
      </c>
      <c r="K45">
        <v>3.6</v>
      </c>
      <c r="L45">
        <v>680</v>
      </c>
      <c r="M45" t="s">
        <v>134</v>
      </c>
      <c r="N45">
        <f t="shared" si="2"/>
        <v>680</v>
      </c>
      <c r="O45">
        <f t="shared" si="3"/>
        <v>680</v>
      </c>
    </row>
    <row r="46" spans="1:15" x14ac:dyDescent="0.45">
      <c r="A46" t="s">
        <v>97</v>
      </c>
      <c r="B46">
        <v>13</v>
      </c>
      <c r="C46">
        <v>86</v>
      </c>
      <c r="D46">
        <v>0.30199999999999999</v>
      </c>
      <c r="E46">
        <v>190202</v>
      </c>
      <c r="F46">
        <v>11</v>
      </c>
      <c r="G46">
        <v>0.84</v>
      </c>
      <c r="H46">
        <v>0.76200000000000001</v>
      </c>
      <c r="I46">
        <v>4.3</v>
      </c>
      <c r="J46">
        <v>4.0999999999999996</v>
      </c>
      <c r="K46">
        <v>3.5</v>
      </c>
      <c r="L46">
        <v>685</v>
      </c>
      <c r="M46" t="s">
        <v>134</v>
      </c>
      <c r="N46">
        <f t="shared" si="2"/>
        <v>685</v>
      </c>
      <c r="O46">
        <f t="shared" si="3"/>
        <v>685</v>
      </c>
    </row>
    <row r="47" spans="1:15" x14ac:dyDescent="0.45">
      <c r="A47" t="s">
        <v>113</v>
      </c>
      <c r="B47">
        <v>25</v>
      </c>
      <c r="C47">
        <v>74</v>
      </c>
      <c r="D47">
        <v>0.314</v>
      </c>
      <c r="E47">
        <v>165816</v>
      </c>
      <c r="F47">
        <v>24</v>
      </c>
      <c r="G47">
        <v>0.75800000000000001</v>
      </c>
      <c r="H47">
        <v>0.50900000000000001</v>
      </c>
      <c r="I47">
        <v>3.9</v>
      </c>
      <c r="J47">
        <v>3.6</v>
      </c>
      <c r="K47">
        <v>3.6</v>
      </c>
      <c r="L47">
        <v>685</v>
      </c>
      <c r="M47" t="s">
        <v>134</v>
      </c>
      <c r="N47">
        <f t="shared" si="2"/>
        <v>685</v>
      </c>
      <c r="O47">
        <f t="shared" si="3"/>
        <v>685</v>
      </c>
    </row>
    <row r="48" spans="1:15" x14ac:dyDescent="0.45">
      <c r="A48" t="s">
        <v>25</v>
      </c>
      <c r="B48">
        <v>15</v>
      </c>
      <c r="C48">
        <v>82</v>
      </c>
      <c r="D48">
        <v>0.29299999999999998</v>
      </c>
      <c r="E48">
        <v>194716</v>
      </c>
      <c r="F48">
        <v>13</v>
      </c>
      <c r="G48">
        <v>0.81</v>
      </c>
      <c r="H48">
        <v>0.72</v>
      </c>
      <c r="I48">
        <v>4.0999999999999996</v>
      </c>
      <c r="J48">
        <v>3.9</v>
      </c>
      <c r="K48">
        <v>3.4</v>
      </c>
      <c r="L48">
        <v>645</v>
      </c>
      <c r="M48">
        <v>710</v>
      </c>
      <c r="N48">
        <f t="shared" si="2"/>
        <v>677.5</v>
      </c>
      <c r="O48">
        <f t="shared" si="3"/>
        <v>693.75</v>
      </c>
    </row>
    <row r="49" spans="1:15" x14ac:dyDescent="0.45">
      <c r="A49" t="s">
        <v>47</v>
      </c>
      <c r="B49">
        <v>6</v>
      </c>
      <c r="C49">
        <v>94</v>
      </c>
      <c r="D49">
        <v>0.188</v>
      </c>
      <c r="E49">
        <v>197331</v>
      </c>
      <c r="F49">
        <v>3</v>
      </c>
      <c r="G49">
        <v>0.81799999999999995</v>
      </c>
      <c r="H49">
        <v>0.64400000000000002</v>
      </c>
      <c r="I49">
        <v>4.7</v>
      </c>
      <c r="J49">
        <v>4.4000000000000004</v>
      </c>
      <c r="K49">
        <v>3.7</v>
      </c>
      <c r="L49">
        <v>675</v>
      </c>
      <c r="M49">
        <v>720</v>
      </c>
      <c r="N49">
        <f t="shared" si="2"/>
        <v>697.5</v>
      </c>
      <c r="O49">
        <f t="shared" si="3"/>
        <v>708.75</v>
      </c>
    </row>
    <row r="50" spans="1:15" x14ac:dyDescent="0.45">
      <c r="A50" t="s">
        <v>117</v>
      </c>
      <c r="B50">
        <v>11</v>
      </c>
      <c r="C50">
        <v>88</v>
      </c>
      <c r="D50">
        <v>0.307</v>
      </c>
      <c r="E50">
        <v>194375</v>
      </c>
      <c r="F50">
        <v>11</v>
      </c>
      <c r="G50">
        <v>0.89700000000000002</v>
      </c>
      <c r="H50">
        <v>0.80100000000000005</v>
      </c>
      <c r="I50">
        <v>4.0999999999999996</v>
      </c>
      <c r="J50">
        <v>4</v>
      </c>
      <c r="K50">
        <v>3.6</v>
      </c>
      <c r="L50">
        <v>665</v>
      </c>
      <c r="M50">
        <v>730</v>
      </c>
      <c r="N50">
        <f t="shared" si="2"/>
        <v>697.5</v>
      </c>
      <c r="O50">
        <f t="shared" si="3"/>
        <v>713.75</v>
      </c>
    </row>
    <row r="51" spans="1:15" x14ac:dyDescent="0.45">
      <c r="A51" t="s">
        <v>37</v>
      </c>
      <c r="B51">
        <v>4</v>
      </c>
      <c r="C51">
        <v>96</v>
      </c>
      <c r="D51">
        <v>0.112</v>
      </c>
      <c r="E51">
        <v>197890</v>
      </c>
      <c r="F51">
        <v>2</v>
      </c>
      <c r="G51">
        <v>0.80400000000000005</v>
      </c>
      <c r="H51">
        <v>0.61399999999999999</v>
      </c>
      <c r="I51">
        <v>4.8</v>
      </c>
      <c r="J51">
        <v>4.5</v>
      </c>
      <c r="K51" t="s">
        <v>134</v>
      </c>
      <c r="L51">
        <v>685</v>
      </c>
      <c r="M51">
        <v>730</v>
      </c>
      <c r="N51">
        <f t="shared" si="2"/>
        <v>707.5</v>
      </c>
      <c r="O51">
        <f t="shared" si="3"/>
        <v>718.75</v>
      </c>
    </row>
    <row r="52" spans="1:15" x14ac:dyDescent="0.45">
      <c r="A52" t="s">
        <v>54</v>
      </c>
      <c r="B52">
        <v>4</v>
      </c>
      <c r="C52">
        <v>96</v>
      </c>
      <c r="D52">
        <v>0.28100000000000003</v>
      </c>
      <c r="E52">
        <v>197394</v>
      </c>
      <c r="F52">
        <v>7</v>
      </c>
      <c r="G52">
        <v>0.86399999999999999</v>
      </c>
      <c r="H52">
        <v>0.70099999999999996</v>
      </c>
      <c r="I52">
        <v>4.5</v>
      </c>
      <c r="J52">
        <v>4.5</v>
      </c>
      <c r="K52">
        <v>3.8</v>
      </c>
      <c r="L52">
        <v>685</v>
      </c>
      <c r="M52">
        <v>730</v>
      </c>
      <c r="N52">
        <f t="shared" si="2"/>
        <v>707.5</v>
      </c>
      <c r="O52">
        <f t="shared" si="3"/>
        <v>718.75</v>
      </c>
    </row>
    <row r="53" spans="1:15" x14ac:dyDescent="0.45">
      <c r="A53" t="s">
        <v>85</v>
      </c>
      <c r="B53">
        <v>3</v>
      </c>
      <c r="C53">
        <v>97</v>
      </c>
      <c r="D53">
        <v>0.27300000000000002</v>
      </c>
      <c r="E53">
        <v>200968</v>
      </c>
      <c r="F53">
        <v>6</v>
      </c>
      <c r="G53">
        <v>0.86</v>
      </c>
      <c r="H53">
        <v>0.747</v>
      </c>
      <c r="I53">
        <v>4.7</v>
      </c>
      <c r="J53">
        <v>4.5</v>
      </c>
      <c r="K53">
        <v>3.7</v>
      </c>
      <c r="L53">
        <v>675</v>
      </c>
      <c r="M53">
        <v>740</v>
      </c>
      <c r="N53">
        <f t="shared" si="2"/>
        <v>707.5</v>
      </c>
      <c r="O53">
        <f t="shared" si="3"/>
        <v>723.75</v>
      </c>
    </row>
    <row r="54" spans="1:15" x14ac:dyDescent="0.45">
      <c r="A54" t="s">
        <v>124</v>
      </c>
      <c r="B54">
        <v>11</v>
      </c>
      <c r="C54">
        <v>88</v>
      </c>
      <c r="D54">
        <v>0.28499999999999998</v>
      </c>
      <c r="E54">
        <v>183446</v>
      </c>
      <c r="F54">
        <v>21</v>
      </c>
      <c r="G54">
        <v>0.80600000000000005</v>
      </c>
      <c r="H54">
        <v>0.66900000000000004</v>
      </c>
      <c r="I54">
        <v>4.4000000000000004</v>
      </c>
      <c r="J54">
        <v>4.2</v>
      </c>
      <c r="K54">
        <v>3.7</v>
      </c>
      <c r="L54">
        <v>675</v>
      </c>
      <c r="M54">
        <v>740</v>
      </c>
      <c r="N54">
        <f t="shared" si="2"/>
        <v>707.5</v>
      </c>
      <c r="O54">
        <f t="shared" si="3"/>
        <v>723.75</v>
      </c>
    </row>
    <row r="55" spans="1:15" x14ac:dyDescent="0.45">
      <c r="A55" t="s">
        <v>24</v>
      </c>
      <c r="B55">
        <v>7</v>
      </c>
      <c r="C55">
        <v>92</v>
      </c>
      <c r="D55">
        <v>0.25700000000000001</v>
      </c>
      <c r="E55">
        <v>195404</v>
      </c>
      <c r="F55">
        <v>7</v>
      </c>
      <c r="G55">
        <v>0.88400000000000001</v>
      </c>
      <c r="H55">
        <v>0.66900000000000004</v>
      </c>
      <c r="I55">
        <v>4.4000000000000004</v>
      </c>
      <c r="J55">
        <v>4.0999999999999996</v>
      </c>
      <c r="K55">
        <v>3.7</v>
      </c>
      <c r="L55">
        <v>695</v>
      </c>
      <c r="M55">
        <v>740</v>
      </c>
      <c r="N55">
        <f t="shared" si="2"/>
        <v>717.5</v>
      </c>
      <c r="O55">
        <f t="shared" si="3"/>
        <v>728.75</v>
      </c>
    </row>
    <row r="56" spans="1:15" x14ac:dyDescent="0.45">
      <c r="A56" t="s">
        <v>51</v>
      </c>
      <c r="B56">
        <v>7</v>
      </c>
      <c r="C56">
        <v>92</v>
      </c>
      <c r="D56">
        <v>0.23599999999999999</v>
      </c>
      <c r="E56">
        <v>201106</v>
      </c>
      <c r="F56">
        <v>10</v>
      </c>
      <c r="G56">
        <v>0.85299999999999998</v>
      </c>
      <c r="H56">
        <v>0.77</v>
      </c>
      <c r="I56">
        <v>4.3</v>
      </c>
      <c r="J56">
        <v>4</v>
      </c>
      <c r="K56">
        <v>3.7</v>
      </c>
      <c r="L56">
        <v>675</v>
      </c>
      <c r="M56">
        <v>750</v>
      </c>
      <c r="N56">
        <f t="shared" si="2"/>
        <v>712.5</v>
      </c>
      <c r="O56">
        <f t="shared" si="3"/>
        <v>731.25</v>
      </c>
    </row>
    <row r="57" spans="1:15" x14ac:dyDescent="0.45">
      <c r="A57" t="s">
        <v>66</v>
      </c>
      <c r="B57">
        <v>1</v>
      </c>
      <c r="C57">
        <v>100</v>
      </c>
      <c r="D57">
        <v>6.8000000000000005E-2</v>
      </c>
      <c r="E57">
        <v>206157</v>
      </c>
      <c r="F57">
        <v>1</v>
      </c>
      <c r="G57">
        <v>0.80300000000000005</v>
      </c>
      <c r="H57">
        <v>0.55700000000000005</v>
      </c>
      <c r="I57">
        <v>4.8</v>
      </c>
      <c r="J57">
        <v>4.5</v>
      </c>
      <c r="K57">
        <v>3.8</v>
      </c>
      <c r="L57">
        <v>695</v>
      </c>
      <c r="M57">
        <v>745</v>
      </c>
      <c r="N57">
        <f t="shared" si="2"/>
        <v>720</v>
      </c>
      <c r="O57">
        <f t="shared" si="3"/>
        <v>732.5</v>
      </c>
    </row>
    <row r="58" spans="1:15" x14ac:dyDescent="0.45">
      <c r="A58" t="s">
        <v>106</v>
      </c>
      <c r="B58">
        <v>2</v>
      </c>
      <c r="C58">
        <v>99</v>
      </c>
      <c r="D58">
        <v>0.186</v>
      </c>
      <c r="E58">
        <v>201902</v>
      </c>
      <c r="F58">
        <v>3</v>
      </c>
      <c r="G58">
        <v>0.876</v>
      </c>
      <c r="H58">
        <v>0.73299999999999998</v>
      </c>
      <c r="I58">
        <v>4.7</v>
      </c>
      <c r="J58">
        <v>4.5999999999999996</v>
      </c>
      <c r="K58">
        <v>3.7</v>
      </c>
      <c r="L58" t="s">
        <v>134</v>
      </c>
      <c r="M58">
        <v>740</v>
      </c>
      <c r="N58">
        <f t="shared" si="2"/>
        <v>740</v>
      </c>
      <c r="O58">
        <f t="shared" si="3"/>
        <v>740</v>
      </c>
    </row>
    <row r="59" spans="1:15" x14ac:dyDescent="0.45">
      <c r="A59" t="s">
        <v>4</v>
      </c>
      <c r="B59">
        <v>29</v>
      </c>
      <c r="C59">
        <v>69</v>
      </c>
      <c r="D59">
        <v>0.184</v>
      </c>
      <c r="E59">
        <v>133727</v>
      </c>
      <c r="F59">
        <v>40</v>
      </c>
      <c r="G59">
        <v>0.85699999999999998</v>
      </c>
      <c r="H59">
        <v>0.59299999999999997</v>
      </c>
      <c r="I59">
        <v>3.6</v>
      </c>
      <c r="J59">
        <v>3.1</v>
      </c>
      <c r="K59">
        <v>3.8</v>
      </c>
      <c r="L59" t="s">
        <v>134</v>
      </c>
      <c r="M59" t="s">
        <v>134</v>
      </c>
      <c r="N59">
        <v>465</v>
      </c>
      <c r="O59" t="s">
        <v>146</v>
      </c>
    </row>
    <row r="60" spans="1:15" x14ac:dyDescent="0.45">
      <c r="A60" t="s">
        <v>55</v>
      </c>
      <c r="B60">
        <v>32</v>
      </c>
      <c r="C60">
        <v>67</v>
      </c>
      <c r="D60">
        <v>0.13300000000000001</v>
      </c>
      <c r="E60">
        <v>140472</v>
      </c>
      <c r="F60">
        <v>37</v>
      </c>
      <c r="G60">
        <v>0.80700000000000005</v>
      </c>
      <c r="H60">
        <v>0.66300000000000003</v>
      </c>
      <c r="I60">
        <v>3.7</v>
      </c>
      <c r="J60">
        <v>3.3</v>
      </c>
      <c r="K60">
        <v>3.5</v>
      </c>
      <c r="L60" t="s">
        <v>134</v>
      </c>
      <c r="M60" t="s">
        <v>134</v>
      </c>
      <c r="N60">
        <v>465</v>
      </c>
      <c r="O60" t="s">
        <v>146</v>
      </c>
    </row>
    <row r="61" spans="1:15" x14ac:dyDescent="0.45">
      <c r="A61" t="s">
        <v>70</v>
      </c>
      <c r="B61">
        <v>36</v>
      </c>
      <c r="C61">
        <v>65</v>
      </c>
      <c r="D61">
        <v>0.248</v>
      </c>
      <c r="E61">
        <v>147087</v>
      </c>
      <c r="F61">
        <v>27</v>
      </c>
      <c r="G61">
        <v>0.82299999999999995</v>
      </c>
      <c r="H61">
        <v>0.69399999999999995</v>
      </c>
      <c r="I61">
        <v>3.4</v>
      </c>
      <c r="J61">
        <v>3.4</v>
      </c>
      <c r="K61">
        <v>3.5</v>
      </c>
      <c r="L61" t="s">
        <v>134</v>
      </c>
      <c r="M61" t="s">
        <v>134</v>
      </c>
      <c r="N61">
        <v>465</v>
      </c>
      <c r="O61" t="s">
        <v>146</v>
      </c>
    </row>
    <row r="62" spans="1:15" x14ac:dyDescent="0.45">
      <c r="A62" t="s">
        <v>96</v>
      </c>
      <c r="B62">
        <v>39</v>
      </c>
      <c r="C62">
        <v>61</v>
      </c>
      <c r="D62">
        <v>0.19500000000000001</v>
      </c>
      <c r="E62">
        <v>108111</v>
      </c>
      <c r="F62">
        <v>72</v>
      </c>
      <c r="G62">
        <v>0.91100000000000003</v>
      </c>
      <c r="H62">
        <v>0.55400000000000005</v>
      </c>
      <c r="I62">
        <v>3.3</v>
      </c>
      <c r="J62">
        <v>3.1</v>
      </c>
      <c r="K62">
        <v>3.7</v>
      </c>
      <c r="L62" t="s">
        <v>134</v>
      </c>
      <c r="M62" t="s">
        <v>134</v>
      </c>
      <c r="N62">
        <v>465</v>
      </c>
      <c r="O62" t="s">
        <v>146</v>
      </c>
    </row>
    <row r="63" spans="1:15" x14ac:dyDescent="0.45">
      <c r="A63" t="s">
        <v>94</v>
      </c>
      <c r="B63">
        <v>43</v>
      </c>
      <c r="C63">
        <v>60</v>
      </c>
      <c r="D63">
        <v>0.372</v>
      </c>
      <c r="E63">
        <v>135689</v>
      </c>
      <c r="F63">
        <v>40</v>
      </c>
      <c r="G63">
        <v>0.78800000000000003</v>
      </c>
      <c r="H63">
        <v>0.53</v>
      </c>
      <c r="I63">
        <v>3.5</v>
      </c>
      <c r="J63">
        <v>3.1</v>
      </c>
      <c r="K63">
        <v>3.5</v>
      </c>
      <c r="L63" t="s">
        <v>134</v>
      </c>
      <c r="M63" t="s">
        <v>134</v>
      </c>
      <c r="N63">
        <v>465</v>
      </c>
      <c r="O63" t="s">
        <v>146</v>
      </c>
    </row>
    <row r="64" spans="1:15" x14ac:dyDescent="0.45">
      <c r="A64" t="s">
        <v>3</v>
      </c>
      <c r="B64">
        <v>46</v>
      </c>
      <c r="C64">
        <v>59</v>
      </c>
      <c r="D64">
        <v>0.16</v>
      </c>
      <c r="E64">
        <v>127339</v>
      </c>
      <c r="F64">
        <v>22</v>
      </c>
      <c r="G64">
        <v>0.82899999999999996</v>
      </c>
      <c r="H64">
        <v>0.48599999999999999</v>
      </c>
      <c r="I64">
        <v>2.9</v>
      </c>
      <c r="J64">
        <v>3.1</v>
      </c>
      <c r="K64">
        <v>3.5</v>
      </c>
      <c r="L64" t="s">
        <v>134</v>
      </c>
      <c r="M64" t="s">
        <v>134</v>
      </c>
      <c r="N64">
        <v>465</v>
      </c>
      <c r="O64" t="s">
        <v>146</v>
      </c>
    </row>
    <row r="65" spans="1:15" x14ac:dyDescent="0.45">
      <c r="A65" t="s">
        <v>78</v>
      </c>
      <c r="B65">
        <v>48</v>
      </c>
      <c r="C65">
        <v>58</v>
      </c>
      <c r="D65">
        <v>0.29299999999999998</v>
      </c>
      <c r="E65">
        <v>84785</v>
      </c>
      <c r="F65">
        <v>87</v>
      </c>
      <c r="G65">
        <v>0.83799999999999997</v>
      </c>
      <c r="H65">
        <v>0.58799999999999997</v>
      </c>
      <c r="I65">
        <v>3.2</v>
      </c>
      <c r="J65">
        <v>2.9</v>
      </c>
      <c r="K65">
        <v>3.8</v>
      </c>
      <c r="L65" t="s">
        <v>134</v>
      </c>
      <c r="M65" t="s">
        <v>134</v>
      </c>
      <c r="N65">
        <v>465</v>
      </c>
      <c r="O65" t="s">
        <v>146</v>
      </c>
    </row>
    <row r="66" spans="1:15" x14ac:dyDescent="0.45">
      <c r="A66" t="s">
        <v>111</v>
      </c>
      <c r="B66">
        <v>53</v>
      </c>
      <c r="C66">
        <v>56</v>
      </c>
      <c r="D66">
        <v>0.55000000000000004</v>
      </c>
      <c r="E66">
        <v>109284</v>
      </c>
      <c r="F66">
        <v>58</v>
      </c>
      <c r="G66">
        <v>0.8</v>
      </c>
      <c r="H66">
        <v>0.5</v>
      </c>
      <c r="I66">
        <v>3.2</v>
      </c>
      <c r="J66">
        <v>3.1</v>
      </c>
      <c r="K66">
        <v>3.7</v>
      </c>
      <c r="L66" t="s">
        <v>134</v>
      </c>
      <c r="M66" t="s">
        <v>134</v>
      </c>
      <c r="N66">
        <v>465</v>
      </c>
      <c r="O66" t="s">
        <v>146</v>
      </c>
    </row>
    <row r="67" spans="1:15" x14ac:dyDescent="0.45">
      <c r="A67" t="s">
        <v>23</v>
      </c>
      <c r="B67">
        <v>53</v>
      </c>
      <c r="C67">
        <v>56</v>
      </c>
      <c r="D67">
        <v>0.38</v>
      </c>
      <c r="E67">
        <v>114889</v>
      </c>
      <c r="F67">
        <v>66</v>
      </c>
      <c r="G67">
        <v>0.71699999999999997</v>
      </c>
      <c r="H67">
        <v>0.48299999999999998</v>
      </c>
      <c r="I67">
        <v>3.2</v>
      </c>
      <c r="J67">
        <v>3.6</v>
      </c>
      <c r="K67">
        <v>3.4</v>
      </c>
      <c r="L67" t="s">
        <v>134</v>
      </c>
      <c r="M67" t="s">
        <v>134</v>
      </c>
      <c r="N67">
        <v>465</v>
      </c>
      <c r="O67" t="s">
        <v>146</v>
      </c>
    </row>
    <row r="68" spans="1:15" x14ac:dyDescent="0.45">
      <c r="A68" t="s">
        <v>74</v>
      </c>
      <c r="B68">
        <v>53</v>
      </c>
      <c r="C68">
        <v>56</v>
      </c>
      <c r="D68">
        <v>0.47699999999999998</v>
      </c>
      <c r="E68">
        <v>109143</v>
      </c>
      <c r="F68">
        <v>66</v>
      </c>
      <c r="G68">
        <v>0.91700000000000004</v>
      </c>
      <c r="H68">
        <v>0.63900000000000001</v>
      </c>
      <c r="I68">
        <v>3.3</v>
      </c>
      <c r="J68">
        <v>3.4</v>
      </c>
      <c r="K68">
        <v>3.3</v>
      </c>
      <c r="L68" t="s">
        <v>134</v>
      </c>
      <c r="M68" t="s">
        <v>134</v>
      </c>
      <c r="N68">
        <v>465</v>
      </c>
      <c r="O68" t="s">
        <v>146</v>
      </c>
    </row>
    <row r="69" spans="1:15" x14ac:dyDescent="0.45">
      <c r="A69" t="s">
        <v>93</v>
      </c>
      <c r="B69">
        <v>53</v>
      </c>
      <c r="C69">
        <v>56</v>
      </c>
      <c r="D69">
        <v>0.73299999999999998</v>
      </c>
      <c r="E69">
        <v>80399</v>
      </c>
      <c r="F69">
        <v>106</v>
      </c>
      <c r="G69">
        <v>0.94599999999999995</v>
      </c>
      <c r="H69">
        <v>0.72099999999999997</v>
      </c>
      <c r="I69">
        <v>3</v>
      </c>
      <c r="J69">
        <v>3.9</v>
      </c>
      <c r="K69">
        <v>3.7</v>
      </c>
      <c r="L69" t="s">
        <v>134</v>
      </c>
      <c r="M69" t="s">
        <v>134</v>
      </c>
      <c r="N69">
        <v>465</v>
      </c>
      <c r="O69" t="s">
        <v>146</v>
      </c>
    </row>
    <row r="70" spans="1:15" x14ac:dyDescent="0.45">
      <c r="A70" t="s">
        <v>69</v>
      </c>
      <c r="B70">
        <v>63</v>
      </c>
      <c r="C70">
        <v>54</v>
      </c>
      <c r="D70">
        <v>0.61199999999999999</v>
      </c>
      <c r="E70">
        <v>125692</v>
      </c>
      <c r="F70">
        <v>34</v>
      </c>
      <c r="G70">
        <v>0.66700000000000004</v>
      </c>
      <c r="H70">
        <v>0.42399999999999999</v>
      </c>
      <c r="I70">
        <v>3.1</v>
      </c>
      <c r="J70">
        <v>3</v>
      </c>
      <c r="K70">
        <v>3.5</v>
      </c>
      <c r="L70" t="s">
        <v>134</v>
      </c>
      <c r="M70" t="s">
        <v>134</v>
      </c>
      <c r="N70">
        <v>465</v>
      </c>
      <c r="O70" t="s">
        <v>146</v>
      </c>
    </row>
    <row r="71" spans="1:15" x14ac:dyDescent="0.45">
      <c r="A71" t="s">
        <v>77</v>
      </c>
      <c r="B71">
        <v>63</v>
      </c>
      <c r="C71">
        <v>54</v>
      </c>
      <c r="D71">
        <v>0.45300000000000001</v>
      </c>
      <c r="E71">
        <v>99900</v>
      </c>
      <c r="F71">
        <v>51</v>
      </c>
      <c r="G71">
        <v>0.61699999999999999</v>
      </c>
      <c r="H71">
        <v>0.46800000000000003</v>
      </c>
      <c r="I71">
        <v>3.4</v>
      </c>
      <c r="J71">
        <v>3.1</v>
      </c>
      <c r="K71">
        <v>3.7</v>
      </c>
      <c r="L71" t="s">
        <v>134</v>
      </c>
      <c r="M71" t="s">
        <v>134</v>
      </c>
      <c r="N71">
        <v>465</v>
      </c>
      <c r="O71" t="s">
        <v>146</v>
      </c>
    </row>
    <row r="72" spans="1:15" x14ac:dyDescent="0.45">
      <c r="A72" t="s">
        <v>84</v>
      </c>
      <c r="B72">
        <v>63</v>
      </c>
      <c r="C72">
        <v>54</v>
      </c>
      <c r="D72">
        <v>0.36499999999999999</v>
      </c>
      <c r="E72">
        <v>121932</v>
      </c>
      <c r="F72">
        <v>79</v>
      </c>
      <c r="G72">
        <v>0.64600000000000002</v>
      </c>
      <c r="H72">
        <v>0.438</v>
      </c>
      <c r="I72">
        <v>3.2</v>
      </c>
      <c r="J72">
        <v>3.3</v>
      </c>
      <c r="K72">
        <v>3.5</v>
      </c>
      <c r="L72" t="s">
        <v>134</v>
      </c>
      <c r="M72" t="s">
        <v>134</v>
      </c>
      <c r="N72">
        <v>465</v>
      </c>
      <c r="O72" t="s">
        <v>146</v>
      </c>
    </row>
    <row r="73" spans="1:15" x14ac:dyDescent="0.45">
      <c r="A73" t="s">
        <v>80</v>
      </c>
      <c r="B73">
        <v>67</v>
      </c>
      <c r="C73">
        <v>53</v>
      </c>
      <c r="D73">
        <v>0.39500000000000002</v>
      </c>
      <c r="E73">
        <v>109864</v>
      </c>
      <c r="F73">
        <v>58</v>
      </c>
      <c r="G73">
        <v>0.66700000000000004</v>
      </c>
      <c r="H73">
        <v>0.41699999999999998</v>
      </c>
      <c r="I73">
        <v>3.4</v>
      </c>
      <c r="J73">
        <v>3.5</v>
      </c>
      <c r="K73">
        <v>3.5</v>
      </c>
      <c r="L73" t="s">
        <v>134</v>
      </c>
      <c r="M73" t="s">
        <v>134</v>
      </c>
      <c r="N73">
        <v>465</v>
      </c>
      <c r="O73" t="s">
        <v>146</v>
      </c>
    </row>
    <row r="74" spans="1:15" x14ac:dyDescent="0.45">
      <c r="A74" t="s">
        <v>7</v>
      </c>
      <c r="B74">
        <v>67</v>
      </c>
      <c r="C74">
        <v>53</v>
      </c>
      <c r="D74">
        <v>0.255</v>
      </c>
      <c r="E74">
        <v>90461</v>
      </c>
      <c r="F74">
        <v>77</v>
      </c>
      <c r="G74">
        <v>0.88600000000000001</v>
      </c>
      <c r="H74">
        <v>0.75</v>
      </c>
      <c r="I74">
        <v>3.1</v>
      </c>
      <c r="J74">
        <v>2.8</v>
      </c>
      <c r="K74">
        <v>3.6</v>
      </c>
      <c r="L74" t="s">
        <v>134</v>
      </c>
      <c r="M74" t="s">
        <v>134</v>
      </c>
      <c r="N74">
        <v>465</v>
      </c>
      <c r="O74" t="s">
        <v>146</v>
      </c>
    </row>
    <row r="75" spans="1:15" x14ac:dyDescent="0.45">
      <c r="A75" t="s">
        <v>34</v>
      </c>
      <c r="B75">
        <v>69</v>
      </c>
      <c r="C75">
        <v>51</v>
      </c>
      <c r="D75">
        <v>0.251</v>
      </c>
      <c r="E75">
        <v>122929</v>
      </c>
      <c r="F75">
        <v>65</v>
      </c>
      <c r="G75">
        <v>0.70799999999999996</v>
      </c>
      <c r="H75">
        <v>0.47699999999999998</v>
      </c>
      <c r="I75">
        <v>3.2</v>
      </c>
      <c r="J75">
        <v>3.4</v>
      </c>
      <c r="K75">
        <v>3.3</v>
      </c>
      <c r="L75" t="s">
        <v>134</v>
      </c>
      <c r="M75" t="s">
        <v>134</v>
      </c>
      <c r="N75">
        <v>465</v>
      </c>
      <c r="O75" t="s">
        <v>146</v>
      </c>
    </row>
    <row r="76" spans="1:15" x14ac:dyDescent="0.45">
      <c r="A76" t="s">
        <v>95</v>
      </c>
      <c r="B76">
        <v>69</v>
      </c>
      <c r="C76">
        <v>51</v>
      </c>
      <c r="D76">
        <v>0.31900000000000001</v>
      </c>
      <c r="E76">
        <v>106468</v>
      </c>
      <c r="F76">
        <v>66</v>
      </c>
      <c r="G76">
        <v>0.78300000000000003</v>
      </c>
      <c r="H76">
        <v>0.34799999999999998</v>
      </c>
      <c r="I76">
        <v>3.1</v>
      </c>
      <c r="J76">
        <v>3</v>
      </c>
      <c r="K76">
        <v>3.6</v>
      </c>
      <c r="L76" t="s">
        <v>134</v>
      </c>
      <c r="M76" t="s">
        <v>134</v>
      </c>
      <c r="N76">
        <v>465</v>
      </c>
      <c r="O76" t="s">
        <v>146</v>
      </c>
    </row>
    <row r="77" spans="1:15" x14ac:dyDescent="0.45">
      <c r="A77" t="s">
        <v>26</v>
      </c>
      <c r="B77">
        <v>71</v>
      </c>
      <c r="C77">
        <v>50</v>
      </c>
      <c r="D77">
        <v>0.374</v>
      </c>
      <c r="E77">
        <v>115741</v>
      </c>
      <c r="F77">
        <v>69</v>
      </c>
      <c r="G77">
        <v>0.75600000000000001</v>
      </c>
      <c r="H77">
        <v>0.61</v>
      </c>
      <c r="I77">
        <v>3</v>
      </c>
      <c r="J77">
        <v>3.2</v>
      </c>
      <c r="K77" t="s">
        <v>134</v>
      </c>
      <c r="L77" t="s">
        <v>134</v>
      </c>
      <c r="M77" t="s">
        <v>134</v>
      </c>
      <c r="N77">
        <v>465</v>
      </c>
      <c r="O77" t="s">
        <v>146</v>
      </c>
    </row>
    <row r="78" spans="1:15" x14ac:dyDescent="0.45">
      <c r="A78" t="s">
        <v>52</v>
      </c>
      <c r="B78">
        <v>72</v>
      </c>
      <c r="C78">
        <v>49</v>
      </c>
      <c r="D78">
        <v>0.95099999999999996</v>
      </c>
      <c r="E78">
        <v>92300</v>
      </c>
      <c r="F78">
        <v>48</v>
      </c>
      <c r="G78">
        <v>0.94299999999999995</v>
      </c>
      <c r="H78">
        <v>0.41399999999999998</v>
      </c>
      <c r="I78">
        <v>2.1</v>
      </c>
      <c r="J78">
        <v>3</v>
      </c>
      <c r="K78">
        <v>3.6</v>
      </c>
      <c r="L78" t="s">
        <v>134</v>
      </c>
      <c r="M78" t="s">
        <v>134</v>
      </c>
      <c r="N78">
        <v>465</v>
      </c>
      <c r="O78" t="s">
        <v>146</v>
      </c>
    </row>
    <row r="79" spans="1:15" x14ac:dyDescent="0.45">
      <c r="A79" t="s">
        <v>67</v>
      </c>
      <c r="B79">
        <v>72</v>
      </c>
      <c r="C79">
        <v>49</v>
      </c>
      <c r="D79">
        <v>0.55900000000000005</v>
      </c>
      <c r="E79">
        <v>85900</v>
      </c>
      <c r="F79">
        <v>92</v>
      </c>
      <c r="G79">
        <v>0.77500000000000002</v>
      </c>
      <c r="H79">
        <v>0.38200000000000001</v>
      </c>
      <c r="I79">
        <v>2.7</v>
      </c>
      <c r="J79">
        <v>4.2</v>
      </c>
      <c r="K79">
        <v>3.5</v>
      </c>
      <c r="L79" t="s">
        <v>134</v>
      </c>
      <c r="M79" t="s">
        <v>134</v>
      </c>
      <c r="N79">
        <v>465</v>
      </c>
      <c r="O79" t="s">
        <v>146</v>
      </c>
    </row>
    <row r="80" spans="1:15" x14ac:dyDescent="0.45">
      <c r="A80" t="s">
        <v>6</v>
      </c>
      <c r="B80">
        <v>74</v>
      </c>
      <c r="C80">
        <v>47</v>
      </c>
      <c r="D80">
        <v>0.61599999999999999</v>
      </c>
      <c r="E80">
        <v>103841</v>
      </c>
      <c r="F80">
        <v>60</v>
      </c>
      <c r="G80">
        <v>0.64600000000000002</v>
      </c>
      <c r="H80">
        <v>0.42599999999999999</v>
      </c>
      <c r="I80">
        <v>3.3</v>
      </c>
      <c r="J80">
        <v>2.9</v>
      </c>
      <c r="K80">
        <v>3.3</v>
      </c>
      <c r="L80" t="s">
        <v>134</v>
      </c>
      <c r="M80" t="s">
        <v>134</v>
      </c>
      <c r="N80">
        <v>465</v>
      </c>
      <c r="O80" t="s">
        <v>146</v>
      </c>
    </row>
    <row r="81" spans="1:15" x14ac:dyDescent="0.45">
      <c r="A81" t="s">
        <v>105</v>
      </c>
      <c r="B81">
        <v>77</v>
      </c>
      <c r="C81">
        <v>43</v>
      </c>
      <c r="D81">
        <v>0.66700000000000004</v>
      </c>
      <c r="E81">
        <v>95253</v>
      </c>
      <c r="F81">
        <v>60</v>
      </c>
      <c r="G81">
        <v>0.53600000000000003</v>
      </c>
      <c r="H81">
        <v>0.34799999999999998</v>
      </c>
      <c r="I81">
        <v>3.1</v>
      </c>
      <c r="J81">
        <v>3.3</v>
      </c>
      <c r="K81">
        <v>3.4</v>
      </c>
      <c r="L81" t="s">
        <v>134</v>
      </c>
      <c r="M81" t="s">
        <v>134</v>
      </c>
      <c r="N81">
        <v>465</v>
      </c>
      <c r="O81" t="s">
        <v>146</v>
      </c>
    </row>
    <row r="82" spans="1:15" x14ac:dyDescent="0.45">
      <c r="A82" t="s">
        <v>44</v>
      </c>
      <c r="B82">
        <v>77</v>
      </c>
      <c r="C82">
        <v>43</v>
      </c>
      <c r="D82">
        <v>0.56499999999999995</v>
      </c>
      <c r="E82">
        <v>68577</v>
      </c>
      <c r="F82">
        <v>120</v>
      </c>
      <c r="G82">
        <v>0.878</v>
      </c>
      <c r="H82">
        <v>0.68700000000000006</v>
      </c>
      <c r="I82">
        <v>2.9</v>
      </c>
      <c r="J82">
        <v>3.1</v>
      </c>
      <c r="K82">
        <v>3.5</v>
      </c>
      <c r="L82" t="s">
        <v>134</v>
      </c>
      <c r="M82" t="s">
        <v>134</v>
      </c>
      <c r="N82">
        <v>465</v>
      </c>
      <c r="O82" t="s">
        <v>146</v>
      </c>
    </row>
    <row r="83" spans="1:15" x14ac:dyDescent="0.45">
      <c r="A83" t="s">
        <v>42</v>
      </c>
      <c r="B83">
        <v>81</v>
      </c>
      <c r="C83">
        <v>41</v>
      </c>
      <c r="D83">
        <v>0.4</v>
      </c>
      <c r="E83">
        <v>118148</v>
      </c>
      <c r="F83">
        <v>72</v>
      </c>
      <c r="G83">
        <v>0.68799999999999994</v>
      </c>
      <c r="H83">
        <v>0.34399999999999997</v>
      </c>
      <c r="I83">
        <v>2.8</v>
      </c>
      <c r="J83">
        <v>3</v>
      </c>
      <c r="K83">
        <v>3.8</v>
      </c>
      <c r="L83" t="s">
        <v>134</v>
      </c>
      <c r="M83" t="s">
        <v>134</v>
      </c>
      <c r="N83">
        <v>465</v>
      </c>
      <c r="O83" t="s">
        <v>146</v>
      </c>
    </row>
    <row r="84" spans="1:15" x14ac:dyDescent="0.45">
      <c r="A84" t="s">
        <v>86</v>
      </c>
      <c r="B84">
        <v>81</v>
      </c>
      <c r="C84">
        <v>41</v>
      </c>
      <c r="D84">
        <v>0.61199999999999999</v>
      </c>
      <c r="E84">
        <v>82205</v>
      </c>
      <c r="F84">
        <v>92</v>
      </c>
      <c r="G84">
        <v>0.95699999999999996</v>
      </c>
      <c r="H84">
        <v>0.76600000000000001</v>
      </c>
      <c r="I84">
        <v>3</v>
      </c>
      <c r="J84">
        <v>3.1</v>
      </c>
      <c r="K84">
        <v>3.3</v>
      </c>
      <c r="L84" t="s">
        <v>134</v>
      </c>
      <c r="M84" t="s">
        <v>134</v>
      </c>
      <c r="N84">
        <v>465</v>
      </c>
      <c r="O84" t="s">
        <v>146</v>
      </c>
    </row>
    <row r="85" spans="1:15" x14ac:dyDescent="0.45">
      <c r="A85" t="s">
        <v>53</v>
      </c>
      <c r="B85">
        <v>83</v>
      </c>
      <c r="C85">
        <v>40</v>
      </c>
      <c r="D85">
        <v>0.19400000000000001</v>
      </c>
      <c r="E85">
        <v>102598</v>
      </c>
      <c r="F85">
        <v>62</v>
      </c>
      <c r="G85">
        <v>0.64300000000000002</v>
      </c>
      <c r="H85">
        <v>0.30599999999999999</v>
      </c>
      <c r="I85">
        <v>3</v>
      </c>
      <c r="J85">
        <v>2.6</v>
      </c>
      <c r="K85">
        <v>3.4</v>
      </c>
      <c r="L85" t="s">
        <v>134</v>
      </c>
      <c r="M85" t="s">
        <v>134</v>
      </c>
      <c r="N85">
        <v>465</v>
      </c>
      <c r="O85" t="s">
        <v>146</v>
      </c>
    </row>
    <row r="86" spans="1:15" x14ac:dyDescent="0.45">
      <c r="A86" t="s">
        <v>75</v>
      </c>
      <c r="B86">
        <v>83</v>
      </c>
      <c r="C86">
        <v>40</v>
      </c>
      <c r="D86">
        <v>0.69499999999999995</v>
      </c>
      <c r="E86">
        <v>83500</v>
      </c>
      <c r="F86">
        <v>84</v>
      </c>
      <c r="G86">
        <v>0.85</v>
      </c>
      <c r="H86">
        <v>0.57499999999999996</v>
      </c>
      <c r="I86">
        <v>2.8</v>
      </c>
      <c r="J86">
        <v>3.9</v>
      </c>
      <c r="K86">
        <v>3.4</v>
      </c>
      <c r="L86" t="s">
        <v>134</v>
      </c>
      <c r="M86" t="s">
        <v>134</v>
      </c>
      <c r="N86">
        <v>465</v>
      </c>
      <c r="O86" t="s">
        <v>146</v>
      </c>
    </row>
    <row r="87" spans="1:15" x14ac:dyDescent="0.45">
      <c r="A87" t="s">
        <v>9</v>
      </c>
      <c r="B87">
        <v>83</v>
      </c>
      <c r="C87">
        <v>40</v>
      </c>
      <c r="D87">
        <v>0.64900000000000002</v>
      </c>
      <c r="E87">
        <v>77618</v>
      </c>
      <c r="F87">
        <v>92</v>
      </c>
      <c r="G87">
        <v>0.92200000000000004</v>
      </c>
      <c r="H87">
        <v>0.59199999999999997</v>
      </c>
      <c r="I87">
        <v>2.7</v>
      </c>
      <c r="J87">
        <v>3</v>
      </c>
      <c r="K87">
        <v>3.6</v>
      </c>
      <c r="L87" t="s">
        <v>134</v>
      </c>
      <c r="M87" t="s">
        <v>134</v>
      </c>
      <c r="N87">
        <v>465</v>
      </c>
      <c r="O87" t="s">
        <v>146</v>
      </c>
    </row>
    <row r="88" spans="1:15" x14ac:dyDescent="0.45">
      <c r="A88" t="s">
        <v>22</v>
      </c>
      <c r="B88">
        <v>83</v>
      </c>
      <c r="C88">
        <v>40</v>
      </c>
      <c r="D88">
        <v>0.33600000000000002</v>
      </c>
      <c r="E88">
        <v>76530</v>
      </c>
      <c r="F88">
        <v>103</v>
      </c>
      <c r="G88">
        <v>0.94899999999999995</v>
      </c>
      <c r="H88">
        <v>0.72199999999999998</v>
      </c>
      <c r="I88">
        <v>2.4</v>
      </c>
      <c r="J88">
        <v>2.5</v>
      </c>
      <c r="K88">
        <v>3.7</v>
      </c>
      <c r="L88" t="s">
        <v>134</v>
      </c>
      <c r="M88" t="s">
        <v>134</v>
      </c>
      <c r="N88">
        <v>465</v>
      </c>
      <c r="O88" t="s">
        <v>146</v>
      </c>
    </row>
    <row r="89" spans="1:15" x14ac:dyDescent="0.45">
      <c r="A89" t="s">
        <v>46</v>
      </c>
      <c r="B89">
        <v>87</v>
      </c>
      <c r="C89">
        <v>39</v>
      </c>
      <c r="D89">
        <v>0.5</v>
      </c>
      <c r="E89">
        <v>75051</v>
      </c>
      <c r="F89">
        <v>103</v>
      </c>
      <c r="G89">
        <v>0.98</v>
      </c>
      <c r="H89">
        <v>0.74</v>
      </c>
      <c r="I89">
        <v>2.9</v>
      </c>
      <c r="J89">
        <v>2.6</v>
      </c>
      <c r="K89">
        <v>3.4</v>
      </c>
      <c r="L89" t="s">
        <v>134</v>
      </c>
      <c r="M89" t="s">
        <v>134</v>
      </c>
      <c r="N89">
        <v>465</v>
      </c>
      <c r="O89" t="s">
        <v>146</v>
      </c>
    </row>
    <row r="90" spans="1:15" x14ac:dyDescent="0.45">
      <c r="A90" t="s">
        <v>89</v>
      </c>
      <c r="B90">
        <v>87</v>
      </c>
      <c r="C90">
        <v>39</v>
      </c>
      <c r="D90">
        <v>0.94699999999999995</v>
      </c>
      <c r="E90">
        <v>77786</v>
      </c>
      <c r="F90">
        <v>109</v>
      </c>
      <c r="G90">
        <v>0.92500000000000004</v>
      </c>
      <c r="H90">
        <v>0.4</v>
      </c>
      <c r="I90">
        <v>2.4</v>
      </c>
      <c r="J90">
        <v>4</v>
      </c>
      <c r="K90">
        <v>3.5</v>
      </c>
      <c r="L90" t="s">
        <v>134</v>
      </c>
      <c r="M90" t="s">
        <v>134</v>
      </c>
      <c r="N90">
        <v>465</v>
      </c>
      <c r="O90" t="s">
        <v>146</v>
      </c>
    </row>
    <row r="91" spans="1:15" x14ac:dyDescent="0.45">
      <c r="A91" t="s">
        <v>14</v>
      </c>
      <c r="B91">
        <v>87</v>
      </c>
      <c r="C91">
        <v>39</v>
      </c>
      <c r="D91">
        <v>0.49399999999999999</v>
      </c>
      <c r="E91">
        <v>61204</v>
      </c>
      <c r="F91">
        <v>123</v>
      </c>
      <c r="G91">
        <v>0.92600000000000005</v>
      </c>
      <c r="H91">
        <v>0.88900000000000001</v>
      </c>
      <c r="I91">
        <v>2.2000000000000002</v>
      </c>
      <c r="J91">
        <v>3.3</v>
      </c>
      <c r="K91">
        <v>3.6</v>
      </c>
      <c r="L91" t="s">
        <v>134</v>
      </c>
      <c r="M91" t="s">
        <v>134</v>
      </c>
      <c r="N91">
        <v>465</v>
      </c>
      <c r="O91" t="s">
        <v>146</v>
      </c>
    </row>
    <row r="92" spans="1:15" x14ac:dyDescent="0.45">
      <c r="A92" t="s">
        <v>8</v>
      </c>
      <c r="B92">
        <v>90</v>
      </c>
      <c r="C92">
        <v>38</v>
      </c>
      <c r="D92">
        <v>0.495</v>
      </c>
      <c r="E92">
        <v>84015</v>
      </c>
      <c r="F92">
        <v>106</v>
      </c>
      <c r="G92">
        <v>0.94499999999999995</v>
      </c>
      <c r="H92">
        <v>0.50700000000000001</v>
      </c>
      <c r="I92">
        <v>2.9</v>
      </c>
      <c r="J92">
        <v>2.7</v>
      </c>
      <c r="K92">
        <v>3.5</v>
      </c>
      <c r="L92" t="s">
        <v>134</v>
      </c>
      <c r="M92" t="s">
        <v>134</v>
      </c>
      <c r="N92">
        <v>465</v>
      </c>
      <c r="O92" t="s">
        <v>146</v>
      </c>
    </row>
    <row r="93" spans="1:15" x14ac:dyDescent="0.45">
      <c r="A93" t="s">
        <v>21</v>
      </c>
      <c r="B93">
        <v>91</v>
      </c>
      <c r="C93">
        <v>37</v>
      </c>
      <c r="D93">
        <v>0.39500000000000002</v>
      </c>
      <c r="E93">
        <v>72102</v>
      </c>
      <c r="F93">
        <v>115</v>
      </c>
      <c r="G93">
        <v>0.93</v>
      </c>
      <c r="H93">
        <v>0.46500000000000002</v>
      </c>
      <c r="I93">
        <v>3</v>
      </c>
      <c r="J93">
        <v>3</v>
      </c>
      <c r="K93">
        <v>3.4</v>
      </c>
      <c r="L93" t="s">
        <v>134</v>
      </c>
      <c r="M93" t="s">
        <v>134</v>
      </c>
      <c r="N93">
        <v>465</v>
      </c>
      <c r="O93" t="s">
        <v>146</v>
      </c>
    </row>
    <row r="94" spans="1:15" x14ac:dyDescent="0.45">
      <c r="A94" t="s">
        <v>17</v>
      </c>
      <c r="B94">
        <v>92</v>
      </c>
      <c r="C94">
        <v>36</v>
      </c>
      <c r="D94">
        <v>0.93799999999999994</v>
      </c>
      <c r="E94">
        <v>75864</v>
      </c>
      <c r="F94">
        <v>82</v>
      </c>
      <c r="G94">
        <v>0.72699999999999998</v>
      </c>
      <c r="H94">
        <v>0.60599999999999998</v>
      </c>
      <c r="I94">
        <v>3</v>
      </c>
      <c r="J94">
        <v>3.2</v>
      </c>
      <c r="K94">
        <v>3.5</v>
      </c>
      <c r="L94" t="s">
        <v>134</v>
      </c>
      <c r="M94" t="s">
        <v>134</v>
      </c>
      <c r="N94">
        <v>465</v>
      </c>
      <c r="O94" t="s">
        <v>146</v>
      </c>
    </row>
    <row r="95" spans="1:15" x14ac:dyDescent="0.45">
      <c r="A95" t="s">
        <v>18</v>
      </c>
      <c r="B95">
        <v>93</v>
      </c>
      <c r="C95">
        <v>35</v>
      </c>
      <c r="D95">
        <v>0.59199999999999997</v>
      </c>
      <c r="E95">
        <v>95091</v>
      </c>
      <c r="F95">
        <v>53</v>
      </c>
      <c r="G95">
        <v>0.88600000000000001</v>
      </c>
      <c r="H95">
        <v>0.84099999999999997</v>
      </c>
      <c r="I95">
        <v>2.1</v>
      </c>
      <c r="J95">
        <v>2.2000000000000002</v>
      </c>
      <c r="K95">
        <v>3.3</v>
      </c>
      <c r="L95" t="s">
        <v>134</v>
      </c>
      <c r="M95" t="s">
        <v>134</v>
      </c>
      <c r="N95">
        <v>465</v>
      </c>
      <c r="O95" t="s">
        <v>146</v>
      </c>
    </row>
    <row r="96" spans="1:15" x14ac:dyDescent="0.45">
      <c r="A96" t="s">
        <v>122</v>
      </c>
      <c r="B96">
        <v>93</v>
      </c>
      <c r="C96">
        <v>35</v>
      </c>
      <c r="D96">
        <v>0.76300000000000001</v>
      </c>
      <c r="E96">
        <v>82429</v>
      </c>
      <c r="F96">
        <v>72</v>
      </c>
      <c r="G96">
        <v>0.92</v>
      </c>
      <c r="H96">
        <v>0.68</v>
      </c>
      <c r="I96">
        <v>1.8</v>
      </c>
      <c r="J96">
        <v>2.4</v>
      </c>
      <c r="K96">
        <v>3.6</v>
      </c>
      <c r="L96" t="s">
        <v>134</v>
      </c>
      <c r="M96" t="s">
        <v>134</v>
      </c>
      <c r="N96">
        <v>465</v>
      </c>
      <c r="O96" t="s">
        <v>146</v>
      </c>
    </row>
    <row r="97" spans="1:15" x14ac:dyDescent="0.45">
      <c r="A97" t="s">
        <v>88</v>
      </c>
      <c r="B97">
        <v>93</v>
      </c>
      <c r="C97">
        <v>35</v>
      </c>
      <c r="D97">
        <v>0.53500000000000003</v>
      </c>
      <c r="E97">
        <v>101574</v>
      </c>
      <c r="F97">
        <v>75</v>
      </c>
      <c r="G97">
        <v>0.65700000000000003</v>
      </c>
      <c r="H97">
        <v>0.42899999999999999</v>
      </c>
      <c r="I97">
        <v>2.8</v>
      </c>
      <c r="J97">
        <v>3.1</v>
      </c>
      <c r="K97">
        <v>3.5</v>
      </c>
      <c r="L97" t="s">
        <v>134</v>
      </c>
      <c r="M97" t="s">
        <v>134</v>
      </c>
      <c r="N97">
        <v>465</v>
      </c>
      <c r="O97" t="s">
        <v>146</v>
      </c>
    </row>
    <row r="98" spans="1:15" x14ac:dyDescent="0.45">
      <c r="A98" t="s">
        <v>62</v>
      </c>
      <c r="B98">
        <v>93</v>
      </c>
      <c r="C98">
        <v>35</v>
      </c>
      <c r="D98">
        <v>0.65900000000000003</v>
      </c>
      <c r="E98">
        <v>84823</v>
      </c>
      <c r="F98">
        <v>86</v>
      </c>
      <c r="G98">
        <v>0.73</v>
      </c>
      <c r="H98">
        <v>0.46</v>
      </c>
      <c r="I98">
        <v>3</v>
      </c>
      <c r="J98">
        <v>3.2</v>
      </c>
      <c r="K98">
        <v>3.5</v>
      </c>
      <c r="L98" t="s">
        <v>134</v>
      </c>
      <c r="M98" t="s">
        <v>134</v>
      </c>
      <c r="N98">
        <v>465</v>
      </c>
      <c r="O98" t="s">
        <v>146</v>
      </c>
    </row>
    <row r="99" spans="1:15" x14ac:dyDescent="0.45">
      <c r="A99" t="s">
        <v>45</v>
      </c>
      <c r="B99">
        <v>93</v>
      </c>
      <c r="C99">
        <v>35</v>
      </c>
      <c r="D99">
        <v>0.75900000000000001</v>
      </c>
      <c r="E99">
        <v>60538</v>
      </c>
      <c r="F99">
        <v>112</v>
      </c>
      <c r="G99">
        <v>0.878</v>
      </c>
      <c r="H99">
        <v>0.55100000000000005</v>
      </c>
      <c r="I99">
        <v>2.1</v>
      </c>
      <c r="J99">
        <v>4.0999999999999996</v>
      </c>
      <c r="K99">
        <v>3.4</v>
      </c>
      <c r="L99" t="s">
        <v>134</v>
      </c>
      <c r="M99" t="s">
        <v>134</v>
      </c>
      <c r="N99">
        <v>465</v>
      </c>
      <c r="O99" t="s">
        <v>146</v>
      </c>
    </row>
    <row r="100" spans="1:15" x14ac:dyDescent="0.45">
      <c r="A100" t="s">
        <v>60</v>
      </c>
      <c r="B100">
        <v>98</v>
      </c>
      <c r="C100">
        <v>34</v>
      </c>
      <c r="D100">
        <v>0.55600000000000005</v>
      </c>
      <c r="E100">
        <v>90778</v>
      </c>
      <c r="F100">
        <v>100</v>
      </c>
      <c r="G100">
        <v>0.79200000000000004</v>
      </c>
      <c r="H100">
        <v>0.54700000000000004</v>
      </c>
      <c r="I100">
        <v>3</v>
      </c>
      <c r="J100">
        <v>3.3</v>
      </c>
      <c r="K100">
        <v>3.2</v>
      </c>
      <c r="L100" t="s">
        <v>134</v>
      </c>
      <c r="M100" t="s">
        <v>134</v>
      </c>
      <c r="N100">
        <v>465</v>
      </c>
      <c r="O100" t="s">
        <v>146</v>
      </c>
    </row>
    <row r="101" spans="1:15" x14ac:dyDescent="0.45">
      <c r="A101" t="s">
        <v>30</v>
      </c>
      <c r="B101">
        <v>98</v>
      </c>
      <c r="C101">
        <v>34</v>
      </c>
      <c r="D101">
        <v>0.96</v>
      </c>
      <c r="E101">
        <v>65788</v>
      </c>
      <c r="F101">
        <v>125</v>
      </c>
      <c r="G101">
        <v>0.90900000000000003</v>
      </c>
      <c r="H101">
        <v>0.68200000000000005</v>
      </c>
      <c r="I101">
        <v>2.2999999999999998</v>
      </c>
      <c r="J101">
        <v>2.6</v>
      </c>
      <c r="K101">
        <v>3.6</v>
      </c>
      <c r="L101" t="s">
        <v>134</v>
      </c>
      <c r="M101" t="s">
        <v>134</v>
      </c>
      <c r="N101">
        <v>465</v>
      </c>
      <c r="O101" t="s">
        <v>146</v>
      </c>
    </row>
    <row r="102" spans="1:15" x14ac:dyDescent="0.45">
      <c r="A102" t="s">
        <v>112</v>
      </c>
      <c r="B102">
        <v>98</v>
      </c>
      <c r="C102">
        <v>34</v>
      </c>
      <c r="D102">
        <v>0.53600000000000003</v>
      </c>
      <c r="E102">
        <v>50949</v>
      </c>
      <c r="F102">
        <v>131</v>
      </c>
      <c r="G102">
        <v>0.86099999999999999</v>
      </c>
      <c r="H102">
        <v>0.52800000000000002</v>
      </c>
      <c r="I102">
        <v>2.9</v>
      </c>
      <c r="J102">
        <v>2</v>
      </c>
      <c r="K102">
        <v>3.7</v>
      </c>
      <c r="L102" t="s">
        <v>134</v>
      </c>
      <c r="M102" t="s">
        <v>134</v>
      </c>
      <c r="N102">
        <v>465</v>
      </c>
      <c r="O102" t="s">
        <v>146</v>
      </c>
    </row>
    <row r="103" spans="1:15" x14ac:dyDescent="0.45">
      <c r="A103" t="s">
        <v>49</v>
      </c>
      <c r="B103">
        <v>101</v>
      </c>
      <c r="C103">
        <v>33</v>
      </c>
      <c r="D103">
        <v>2.7E-2</v>
      </c>
      <c r="E103">
        <v>74406</v>
      </c>
      <c r="F103">
        <v>79</v>
      </c>
      <c r="G103">
        <v>0.89700000000000002</v>
      </c>
      <c r="H103">
        <v>0.48299999999999998</v>
      </c>
      <c r="I103">
        <v>2.2000000000000002</v>
      </c>
      <c r="J103" t="s">
        <v>134</v>
      </c>
      <c r="K103">
        <v>3.7</v>
      </c>
      <c r="L103" t="s">
        <v>134</v>
      </c>
      <c r="M103" t="s">
        <v>134</v>
      </c>
      <c r="N103">
        <v>465</v>
      </c>
      <c r="O103" t="s">
        <v>146</v>
      </c>
    </row>
    <row r="104" spans="1:15" x14ac:dyDescent="0.45">
      <c r="A104" t="s">
        <v>83</v>
      </c>
      <c r="B104">
        <v>101</v>
      </c>
      <c r="C104">
        <v>33</v>
      </c>
      <c r="D104">
        <v>0.436</v>
      </c>
      <c r="E104">
        <v>76810</v>
      </c>
      <c r="F104">
        <v>103</v>
      </c>
      <c r="G104">
        <v>0.52700000000000002</v>
      </c>
      <c r="H104">
        <v>0.23</v>
      </c>
      <c r="I104">
        <v>2.9</v>
      </c>
      <c r="J104">
        <v>3.2</v>
      </c>
      <c r="K104">
        <v>3.4</v>
      </c>
      <c r="L104" t="s">
        <v>134</v>
      </c>
      <c r="M104" t="s">
        <v>134</v>
      </c>
      <c r="N104">
        <v>465</v>
      </c>
      <c r="O104" t="s">
        <v>146</v>
      </c>
    </row>
    <row r="105" spans="1:15" x14ac:dyDescent="0.45">
      <c r="A105" t="s">
        <v>19</v>
      </c>
      <c r="B105">
        <v>101</v>
      </c>
      <c r="C105">
        <v>33</v>
      </c>
      <c r="D105">
        <v>0.59399999999999997</v>
      </c>
      <c r="E105">
        <v>72152</v>
      </c>
      <c r="F105">
        <v>109</v>
      </c>
      <c r="G105">
        <v>0.94099999999999995</v>
      </c>
      <c r="H105">
        <v>0.66200000000000003</v>
      </c>
      <c r="I105">
        <v>2.2000000000000002</v>
      </c>
      <c r="J105">
        <v>1.8</v>
      </c>
      <c r="K105">
        <v>3.7</v>
      </c>
      <c r="L105" t="s">
        <v>134</v>
      </c>
      <c r="M105" t="s">
        <v>134</v>
      </c>
      <c r="N105">
        <v>465</v>
      </c>
      <c r="O105" t="s">
        <v>146</v>
      </c>
    </row>
    <row r="106" spans="1:15" x14ac:dyDescent="0.45">
      <c r="A106" t="s">
        <v>32</v>
      </c>
      <c r="B106">
        <v>101</v>
      </c>
      <c r="C106">
        <v>33</v>
      </c>
      <c r="D106">
        <v>0.47699999999999998</v>
      </c>
      <c r="E106">
        <v>67490</v>
      </c>
      <c r="F106">
        <v>120</v>
      </c>
      <c r="G106">
        <v>0.65200000000000002</v>
      </c>
      <c r="H106">
        <v>0.504</v>
      </c>
      <c r="I106">
        <v>3</v>
      </c>
      <c r="J106">
        <v>3</v>
      </c>
      <c r="K106">
        <v>3.7</v>
      </c>
      <c r="L106" t="s">
        <v>134</v>
      </c>
      <c r="M106" t="s">
        <v>134</v>
      </c>
      <c r="N106">
        <v>465</v>
      </c>
      <c r="O106" t="s">
        <v>146</v>
      </c>
    </row>
    <row r="107" spans="1:15" x14ac:dyDescent="0.45">
      <c r="A107" t="s">
        <v>109</v>
      </c>
      <c r="B107">
        <v>105</v>
      </c>
      <c r="C107">
        <v>31</v>
      </c>
      <c r="D107">
        <v>0.83499999999999996</v>
      </c>
      <c r="E107">
        <v>98346</v>
      </c>
      <c r="F107">
        <v>62</v>
      </c>
      <c r="G107">
        <v>0.66200000000000003</v>
      </c>
      <c r="H107">
        <v>0.47099999999999997</v>
      </c>
      <c r="I107">
        <v>2.9</v>
      </c>
      <c r="J107">
        <v>2.8</v>
      </c>
      <c r="K107">
        <v>3.3</v>
      </c>
      <c r="L107" t="s">
        <v>134</v>
      </c>
      <c r="M107" t="s">
        <v>134</v>
      </c>
      <c r="N107">
        <v>465</v>
      </c>
      <c r="O107" t="s">
        <v>146</v>
      </c>
    </row>
    <row r="108" spans="1:15" x14ac:dyDescent="0.45">
      <c r="A108" t="s">
        <v>59</v>
      </c>
      <c r="B108">
        <v>105</v>
      </c>
      <c r="C108">
        <v>31</v>
      </c>
      <c r="D108">
        <v>0.77400000000000002</v>
      </c>
      <c r="E108">
        <v>76726</v>
      </c>
      <c r="F108">
        <v>92</v>
      </c>
      <c r="G108">
        <v>0.80900000000000005</v>
      </c>
      <c r="H108">
        <v>0.47199999999999998</v>
      </c>
      <c r="I108">
        <v>2.5</v>
      </c>
      <c r="J108">
        <v>2.5</v>
      </c>
      <c r="K108">
        <v>3.6</v>
      </c>
      <c r="L108" t="s">
        <v>134</v>
      </c>
      <c r="M108" t="s">
        <v>134</v>
      </c>
      <c r="N108">
        <v>465</v>
      </c>
      <c r="O108" t="s">
        <v>146</v>
      </c>
    </row>
    <row r="109" spans="1:15" x14ac:dyDescent="0.45">
      <c r="A109" t="s">
        <v>101</v>
      </c>
      <c r="B109">
        <v>105</v>
      </c>
      <c r="C109">
        <v>31</v>
      </c>
      <c r="D109">
        <v>0.753</v>
      </c>
      <c r="E109">
        <v>66875</v>
      </c>
      <c r="F109">
        <v>115</v>
      </c>
      <c r="G109">
        <v>0.89200000000000002</v>
      </c>
      <c r="H109">
        <v>0.754</v>
      </c>
      <c r="I109">
        <v>2.6</v>
      </c>
      <c r="J109">
        <v>2.1</v>
      </c>
      <c r="K109">
        <v>3.4</v>
      </c>
      <c r="L109" t="s">
        <v>134</v>
      </c>
      <c r="M109" t="s">
        <v>134</v>
      </c>
      <c r="N109">
        <v>465</v>
      </c>
      <c r="O109" t="s">
        <v>146</v>
      </c>
    </row>
    <row r="110" spans="1:15" x14ac:dyDescent="0.45">
      <c r="A110" t="s">
        <v>50</v>
      </c>
      <c r="B110">
        <v>105</v>
      </c>
      <c r="C110">
        <v>31</v>
      </c>
      <c r="D110">
        <v>0.59799999999999998</v>
      </c>
      <c r="E110">
        <v>62010</v>
      </c>
      <c r="F110">
        <v>130</v>
      </c>
      <c r="G110">
        <v>0.77500000000000002</v>
      </c>
      <c r="H110">
        <v>0.48299999999999998</v>
      </c>
      <c r="I110">
        <v>2.6</v>
      </c>
      <c r="J110">
        <v>2.6</v>
      </c>
      <c r="K110">
        <v>3.8</v>
      </c>
      <c r="L110" t="s">
        <v>134</v>
      </c>
      <c r="M110" t="s">
        <v>134</v>
      </c>
      <c r="N110">
        <v>465</v>
      </c>
      <c r="O110" t="s">
        <v>146</v>
      </c>
    </row>
    <row r="111" spans="1:15" x14ac:dyDescent="0.45">
      <c r="A111" t="s">
        <v>12</v>
      </c>
      <c r="B111">
        <v>110</v>
      </c>
      <c r="C111">
        <v>30</v>
      </c>
      <c r="D111">
        <v>0.63800000000000001</v>
      </c>
      <c r="E111">
        <v>89119</v>
      </c>
      <c r="F111">
        <v>79</v>
      </c>
      <c r="G111">
        <v>0.60699999999999998</v>
      </c>
      <c r="H111">
        <v>0.39300000000000002</v>
      </c>
      <c r="I111">
        <v>2.8</v>
      </c>
      <c r="J111">
        <v>2.8</v>
      </c>
      <c r="K111">
        <v>3.5</v>
      </c>
      <c r="L111" t="s">
        <v>134</v>
      </c>
      <c r="M111" t="s">
        <v>134</v>
      </c>
      <c r="N111">
        <v>465</v>
      </c>
      <c r="O111" t="s">
        <v>146</v>
      </c>
    </row>
    <row r="112" spans="1:15" x14ac:dyDescent="0.45">
      <c r="A112" t="s">
        <v>57</v>
      </c>
      <c r="B112">
        <v>110</v>
      </c>
      <c r="C112">
        <v>30</v>
      </c>
      <c r="D112">
        <v>0.86599999999999999</v>
      </c>
      <c r="E112">
        <v>101247</v>
      </c>
      <c r="F112">
        <v>92</v>
      </c>
      <c r="G112">
        <v>0.65800000000000003</v>
      </c>
      <c r="H112">
        <v>0.52600000000000002</v>
      </c>
      <c r="I112">
        <v>3</v>
      </c>
      <c r="J112">
        <v>3.3</v>
      </c>
      <c r="K112">
        <v>3.2</v>
      </c>
      <c r="L112" t="s">
        <v>134</v>
      </c>
      <c r="M112" t="s">
        <v>134</v>
      </c>
      <c r="N112">
        <v>465</v>
      </c>
      <c r="O112" t="s">
        <v>146</v>
      </c>
    </row>
    <row r="113" spans="1:15" x14ac:dyDescent="0.45">
      <c r="A113" t="s">
        <v>28</v>
      </c>
      <c r="B113">
        <v>110</v>
      </c>
      <c r="C113">
        <v>30</v>
      </c>
      <c r="D113">
        <v>0.71599999999999997</v>
      </c>
      <c r="E113">
        <v>71467</v>
      </c>
      <c r="F113">
        <v>119</v>
      </c>
      <c r="G113">
        <v>0.72199999999999998</v>
      </c>
      <c r="H113">
        <v>0.38900000000000001</v>
      </c>
      <c r="I113">
        <v>2.8</v>
      </c>
      <c r="J113">
        <v>3.2</v>
      </c>
      <c r="K113">
        <v>3.5</v>
      </c>
      <c r="L113" t="s">
        <v>134</v>
      </c>
      <c r="M113" t="s">
        <v>134</v>
      </c>
      <c r="N113">
        <v>465</v>
      </c>
      <c r="O113" t="s">
        <v>146</v>
      </c>
    </row>
    <row r="114" spans="1:15" x14ac:dyDescent="0.45">
      <c r="A114" t="s">
        <v>110</v>
      </c>
      <c r="B114">
        <v>113</v>
      </c>
      <c r="C114">
        <v>29</v>
      </c>
      <c r="D114">
        <v>0.41499999999999998</v>
      </c>
      <c r="E114">
        <v>104512</v>
      </c>
      <c r="F114">
        <v>69</v>
      </c>
      <c r="G114">
        <v>0.44600000000000001</v>
      </c>
      <c r="H114">
        <v>0.246</v>
      </c>
      <c r="I114">
        <v>2.8</v>
      </c>
      <c r="J114">
        <v>2.9</v>
      </c>
      <c r="K114">
        <v>3.3</v>
      </c>
      <c r="L114" t="s">
        <v>134</v>
      </c>
      <c r="M114" t="s">
        <v>134</v>
      </c>
      <c r="N114">
        <v>465</v>
      </c>
      <c r="O114" t="s">
        <v>146</v>
      </c>
    </row>
    <row r="115" spans="1:15" x14ac:dyDescent="0.45">
      <c r="A115" t="s">
        <v>43</v>
      </c>
      <c r="B115">
        <v>113</v>
      </c>
      <c r="C115">
        <v>29</v>
      </c>
      <c r="D115">
        <v>0.90900000000000003</v>
      </c>
      <c r="E115">
        <v>65387</v>
      </c>
      <c r="F115">
        <v>98</v>
      </c>
      <c r="G115">
        <v>0.95799999999999996</v>
      </c>
      <c r="H115">
        <v>0.75</v>
      </c>
      <c r="I115">
        <v>1.9</v>
      </c>
      <c r="J115" t="s">
        <v>134</v>
      </c>
      <c r="K115">
        <v>3.5</v>
      </c>
      <c r="L115" t="s">
        <v>134</v>
      </c>
      <c r="M115" t="s">
        <v>134</v>
      </c>
      <c r="N115">
        <v>465</v>
      </c>
      <c r="O115" t="s">
        <v>146</v>
      </c>
    </row>
    <row r="116" spans="1:15" x14ac:dyDescent="0.45">
      <c r="A116" t="s">
        <v>123</v>
      </c>
      <c r="B116">
        <v>113</v>
      </c>
      <c r="C116">
        <v>29</v>
      </c>
      <c r="D116">
        <v>0.96799999999999997</v>
      </c>
      <c r="E116">
        <v>61896</v>
      </c>
      <c r="F116">
        <v>125</v>
      </c>
      <c r="G116">
        <v>0.59699999999999998</v>
      </c>
      <c r="H116">
        <v>0.46300000000000002</v>
      </c>
      <c r="I116">
        <v>2.1</v>
      </c>
      <c r="J116">
        <v>3.5</v>
      </c>
      <c r="K116">
        <v>3.4</v>
      </c>
      <c r="L116" t="s">
        <v>134</v>
      </c>
      <c r="M116" t="s">
        <v>134</v>
      </c>
      <c r="N116">
        <v>465</v>
      </c>
      <c r="O116" t="s">
        <v>146</v>
      </c>
    </row>
    <row r="117" spans="1:15" x14ac:dyDescent="0.45">
      <c r="A117" t="s">
        <v>58</v>
      </c>
      <c r="B117">
        <v>116</v>
      </c>
      <c r="C117">
        <v>28</v>
      </c>
      <c r="D117">
        <v>0.85</v>
      </c>
      <c r="E117">
        <v>98860</v>
      </c>
      <c r="F117">
        <v>84</v>
      </c>
      <c r="G117">
        <v>0.78600000000000003</v>
      </c>
      <c r="H117">
        <v>0.57099999999999995</v>
      </c>
      <c r="I117">
        <v>2.4</v>
      </c>
      <c r="J117">
        <v>2.6</v>
      </c>
      <c r="K117">
        <v>3.2</v>
      </c>
      <c r="L117" t="s">
        <v>134</v>
      </c>
      <c r="M117" t="s">
        <v>134</v>
      </c>
      <c r="N117">
        <v>465</v>
      </c>
      <c r="O117" t="s">
        <v>146</v>
      </c>
    </row>
    <row r="118" spans="1:15" x14ac:dyDescent="0.45">
      <c r="A118" t="s">
        <v>41</v>
      </c>
      <c r="B118">
        <v>116</v>
      </c>
      <c r="C118">
        <v>28</v>
      </c>
      <c r="D118">
        <v>0.88900000000000001</v>
      </c>
      <c r="E118">
        <v>66885</v>
      </c>
      <c r="F118">
        <v>123</v>
      </c>
      <c r="G118">
        <v>0.85699999999999998</v>
      </c>
      <c r="H118">
        <v>0.63300000000000001</v>
      </c>
      <c r="I118">
        <v>2.2000000000000002</v>
      </c>
      <c r="J118">
        <v>2.9</v>
      </c>
      <c r="K118">
        <v>3.3</v>
      </c>
      <c r="L118" t="s">
        <v>134</v>
      </c>
      <c r="M118" t="s">
        <v>134</v>
      </c>
      <c r="N118">
        <v>465</v>
      </c>
      <c r="O118" t="s">
        <v>146</v>
      </c>
    </row>
    <row r="119" spans="1:15" x14ac:dyDescent="0.45">
      <c r="A119" t="s">
        <v>20</v>
      </c>
      <c r="B119">
        <v>118</v>
      </c>
      <c r="C119">
        <v>27</v>
      </c>
      <c r="D119">
        <v>0.79</v>
      </c>
      <c r="E119">
        <v>92117</v>
      </c>
      <c r="F119">
        <v>62</v>
      </c>
      <c r="G119">
        <v>0.64</v>
      </c>
      <c r="H119">
        <v>0.52</v>
      </c>
      <c r="I119">
        <v>2.1</v>
      </c>
      <c r="J119">
        <v>2.2999999999999998</v>
      </c>
      <c r="K119">
        <v>3.5</v>
      </c>
      <c r="L119" t="s">
        <v>134</v>
      </c>
      <c r="M119" t="s">
        <v>134</v>
      </c>
      <c r="N119">
        <v>465</v>
      </c>
      <c r="O119" t="s">
        <v>146</v>
      </c>
    </row>
    <row r="120" spans="1:15" x14ac:dyDescent="0.45">
      <c r="A120" t="s">
        <v>68</v>
      </c>
      <c r="B120">
        <v>118</v>
      </c>
      <c r="C120">
        <v>27</v>
      </c>
      <c r="D120">
        <v>0.84599999999999997</v>
      </c>
      <c r="E120">
        <v>61355</v>
      </c>
      <c r="F120">
        <v>100</v>
      </c>
      <c r="G120">
        <v>0.83199999999999996</v>
      </c>
      <c r="H120">
        <v>0.38300000000000001</v>
      </c>
      <c r="I120">
        <v>2.4</v>
      </c>
      <c r="J120">
        <v>2.6</v>
      </c>
      <c r="K120">
        <v>3.5</v>
      </c>
      <c r="L120" t="s">
        <v>134</v>
      </c>
      <c r="M120" t="s">
        <v>134</v>
      </c>
      <c r="N120">
        <v>465</v>
      </c>
      <c r="O120" t="s">
        <v>146</v>
      </c>
    </row>
    <row r="121" spans="1:15" x14ac:dyDescent="0.45">
      <c r="A121" t="s">
        <v>65</v>
      </c>
      <c r="B121">
        <v>118</v>
      </c>
      <c r="C121">
        <v>27</v>
      </c>
      <c r="D121">
        <v>0.47</v>
      </c>
      <c r="E121">
        <v>68649</v>
      </c>
      <c r="F121">
        <v>134</v>
      </c>
      <c r="G121">
        <v>0.63600000000000001</v>
      </c>
      <c r="H121">
        <v>0.33300000000000002</v>
      </c>
      <c r="I121">
        <v>3</v>
      </c>
      <c r="J121">
        <v>3.5</v>
      </c>
      <c r="K121">
        <v>3.4</v>
      </c>
      <c r="L121" t="s">
        <v>134</v>
      </c>
      <c r="M121" t="s">
        <v>134</v>
      </c>
      <c r="N121">
        <v>465</v>
      </c>
      <c r="O121" t="s">
        <v>146</v>
      </c>
    </row>
    <row r="122" spans="1:15" x14ac:dyDescent="0.45">
      <c r="A122" t="s">
        <v>98</v>
      </c>
      <c r="B122">
        <v>121</v>
      </c>
      <c r="C122">
        <v>26</v>
      </c>
      <c r="D122">
        <v>1</v>
      </c>
      <c r="E122">
        <v>69470</v>
      </c>
      <c r="F122">
        <v>112</v>
      </c>
      <c r="G122">
        <v>0.93300000000000005</v>
      </c>
      <c r="H122">
        <v>0.16700000000000001</v>
      </c>
      <c r="I122">
        <v>2.4</v>
      </c>
      <c r="J122" t="s">
        <v>134</v>
      </c>
      <c r="K122">
        <v>3.6</v>
      </c>
      <c r="L122" t="s">
        <v>134</v>
      </c>
      <c r="M122" t="s">
        <v>134</v>
      </c>
      <c r="N122">
        <v>465</v>
      </c>
      <c r="O122" t="s">
        <v>146</v>
      </c>
    </row>
    <row r="123" spans="1:15" x14ac:dyDescent="0.45">
      <c r="A123" t="s">
        <v>40</v>
      </c>
      <c r="B123">
        <v>121</v>
      </c>
      <c r="C123">
        <v>26</v>
      </c>
      <c r="D123">
        <v>0.65300000000000002</v>
      </c>
      <c r="E123">
        <v>67561</v>
      </c>
      <c r="F123">
        <v>115</v>
      </c>
      <c r="G123">
        <v>0.74399999999999999</v>
      </c>
      <c r="H123">
        <v>0.32600000000000001</v>
      </c>
      <c r="I123">
        <v>2.4</v>
      </c>
      <c r="J123">
        <v>2.6</v>
      </c>
      <c r="K123">
        <v>3.6</v>
      </c>
      <c r="L123" t="s">
        <v>134</v>
      </c>
      <c r="M123" t="s">
        <v>134</v>
      </c>
      <c r="N123">
        <v>465</v>
      </c>
      <c r="O123" t="s">
        <v>146</v>
      </c>
    </row>
  </sheetData>
  <autoFilter ref="A1:O1" xr:uid="{51766BB7-CA86-4DD5-8C70-3DA0BBF9C646}">
    <sortState xmlns:xlrd2="http://schemas.microsoft.com/office/spreadsheetml/2017/richdata2" ref="A2:O123">
      <sortCondition ref="O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5DB2-7FA2-4CF4-BF1A-00A8F3D71BB8}">
  <dimension ref="A1:O122"/>
  <sheetViews>
    <sheetView workbookViewId="0">
      <selection activeCell="E1" sqref="E1"/>
    </sheetView>
  </sheetViews>
  <sheetFormatPr defaultRowHeight="14.25" x14ac:dyDescent="0.45"/>
  <cols>
    <col min="15" max="15" width="17.19921875" bestFit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125</v>
      </c>
      <c r="E1" s="1" t="s">
        <v>126</v>
      </c>
      <c r="F1" s="1" t="s">
        <v>135</v>
      </c>
      <c r="G1" s="1" t="s">
        <v>127</v>
      </c>
      <c r="H1" s="1" t="s">
        <v>128</v>
      </c>
      <c r="I1" s="1" t="s">
        <v>129</v>
      </c>
      <c r="J1" s="1" t="s">
        <v>131</v>
      </c>
      <c r="K1" s="1" t="s">
        <v>130</v>
      </c>
      <c r="L1" s="1" t="s">
        <v>133</v>
      </c>
      <c r="M1" s="1" t="s">
        <v>132</v>
      </c>
      <c r="N1" s="1" t="s">
        <v>144</v>
      </c>
      <c r="O1" s="2" t="s">
        <v>145</v>
      </c>
    </row>
    <row r="2" spans="1:15" x14ac:dyDescent="0.45">
      <c r="A2" t="s">
        <v>72</v>
      </c>
      <c r="B2">
        <v>92</v>
      </c>
      <c r="C2">
        <v>34</v>
      </c>
      <c r="D2">
        <v>0.86099999999999999</v>
      </c>
      <c r="E2">
        <v>69356</v>
      </c>
      <c r="F2">
        <v>117</v>
      </c>
      <c r="G2">
        <v>0.90700000000000003</v>
      </c>
      <c r="H2">
        <v>0.45400000000000001</v>
      </c>
      <c r="I2">
        <v>2.8</v>
      </c>
      <c r="J2">
        <v>3.2</v>
      </c>
      <c r="K2">
        <v>3.6</v>
      </c>
      <c r="L2" t="s">
        <v>134</v>
      </c>
      <c r="M2">
        <v>475</v>
      </c>
      <c r="N2">
        <f t="shared" ref="N2:N33" si="0">AVERAGE(L2:M2)</f>
        <v>475</v>
      </c>
      <c r="O2">
        <f>N2</f>
        <v>475</v>
      </c>
    </row>
    <row r="3" spans="1:15" x14ac:dyDescent="0.45">
      <c r="A3" t="s">
        <v>100</v>
      </c>
      <c r="B3">
        <v>82</v>
      </c>
      <c r="C3">
        <v>39</v>
      </c>
      <c r="D3">
        <v>0.45400000000000001</v>
      </c>
      <c r="E3">
        <v>65783</v>
      </c>
      <c r="F3">
        <v>123</v>
      </c>
      <c r="G3">
        <v>0.95899999999999996</v>
      </c>
      <c r="H3">
        <v>0.63300000000000001</v>
      </c>
      <c r="I3">
        <v>2.7</v>
      </c>
      <c r="J3">
        <v>3.4</v>
      </c>
      <c r="K3">
        <v>3.5</v>
      </c>
      <c r="L3" t="s">
        <v>134</v>
      </c>
      <c r="M3">
        <v>515</v>
      </c>
      <c r="N3">
        <f t="shared" si="0"/>
        <v>515</v>
      </c>
      <c r="O3">
        <f t="shared" ref="O3:O61" si="1">N3</f>
        <v>515</v>
      </c>
    </row>
    <row r="4" spans="1:15" x14ac:dyDescent="0.45">
      <c r="A4" t="s">
        <v>92</v>
      </c>
      <c r="B4">
        <v>72</v>
      </c>
      <c r="C4">
        <v>45</v>
      </c>
      <c r="D4">
        <v>0.71399999999999997</v>
      </c>
      <c r="E4">
        <v>87390</v>
      </c>
      <c r="F4">
        <v>93</v>
      </c>
      <c r="G4">
        <v>0.93799999999999994</v>
      </c>
      <c r="H4">
        <v>0.77100000000000002</v>
      </c>
      <c r="I4">
        <v>2.9</v>
      </c>
      <c r="J4">
        <v>3.6</v>
      </c>
      <c r="K4">
        <v>3.6</v>
      </c>
      <c r="L4" t="s">
        <v>134</v>
      </c>
      <c r="M4">
        <v>520</v>
      </c>
      <c r="N4">
        <f t="shared" si="0"/>
        <v>520</v>
      </c>
      <c r="O4">
        <f t="shared" si="1"/>
        <v>520</v>
      </c>
    </row>
    <row r="5" spans="1:15" x14ac:dyDescent="0.45">
      <c r="A5" t="s">
        <v>56</v>
      </c>
      <c r="B5">
        <v>58</v>
      </c>
      <c r="C5">
        <v>52</v>
      </c>
      <c r="D5">
        <v>0.25</v>
      </c>
      <c r="E5">
        <v>67978</v>
      </c>
      <c r="F5">
        <v>97</v>
      </c>
      <c r="G5">
        <v>0.95899999999999996</v>
      </c>
      <c r="H5">
        <v>0.78100000000000003</v>
      </c>
      <c r="I5">
        <v>2.9</v>
      </c>
      <c r="J5">
        <v>3.7</v>
      </c>
      <c r="K5">
        <v>3.8</v>
      </c>
      <c r="L5" t="s">
        <v>134</v>
      </c>
      <c r="M5">
        <v>525</v>
      </c>
      <c r="N5">
        <f t="shared" si="0"/>
        <v>525</v>
      </c>
      <c r="O5">
        <f t="shared" si="1"/>
        <v>525</v>
      </c>
    </row>
    <row r="6" spans="1:15" x14ac:dyDescent="0.45">
      <c r="A6" t="s">
        <v>5</v>
      </c>
      <c r="B6">
        <v>73</v>
      </c>
      <c r="C6">
        <v>44</v>
      </c>
      <c r="D6">
        <v>0.39</v>
      </c>
      <c r="E6">
        <v>89633</v>
      </c>
      <c r="F6">
        <v>84</v>
      </c>
      <c r="G6">
        <v>0.83099999999999996</v>
      </c>
      <c r="H6">
        <v>0.67700000000000005</v>
      </c>
      <c r="I6">
        <v>3</v>
      </c>
      <c r="J6">
        <v>3.2</v>
      </c>
      <c r="K6">
        <v>3.5</v>
      </c>
      <c r="L6">
        <v>570</v>
      </c>
      <c r="M6">
        <v>525</v>
      </c>
      <c r="N6">
        <f t="shared" si="0"/>
        <v>547.5</v>
      </c>
      <c r="O6">
        <f t="shared" si="1"/>
        <v>547.5</v>
      </c>
    </row>
    <row r="7" spans="1:15" x14ac:dyDescent="0.45">
      <c r="A7" t="s">
        <v>104</v>
      </c>
      <c r="B7">
        <v>79</v>
      </c>
      <c r="C7">
        <v>40</v>
      </c>
      <c r="D7">
        <v>0.63200000000000001</v>
      </c>
      <c r="E7">
        <v>82966</v>
      </c>
      <c r="F7">
        <v>101</v>
      </c>
      <c r="G7">
        <v>0.86499999999999999</v>
      </c>
      <c r="H7">
        <v>0.65400000000000003</v>
      </c>
      <c r="I7">
        <v>2.9</v>
      </c>
      <c r="J7">
        <v>3.5</v>
      </c>
      <c r="K7">
        <v>3.5</v>
      </c>
      <c r="L7" t="s">
        <v>134</v>
      </c>
      <c r="M7">
        <v>550</v>
      </c>
      <c r="N7">
        <f t="shared" si="0"/>
        <v>550</v>
      </c>
      <c r="O7">
        <f t="shared" si="1"/>
        <v>550</v>
      </c>
    </row>
    <row r="8" spans="1:15" x14ac:dyDescent="0.45">
      <c r="A8" t="s">
        <v>39</v>
      </c>
      <c r="B8">
        <v>42</v>
      </c>
      <c r="C8">
        <v>60</v>
      </c>
      <c r="D8">
        <v>0.81699999999999995</v>
      </c>
      <c r="E8">
        <v>81306</v>
      </c>
      <c r="F8">
        <v>88</v>
      </c>
      <c r="G8">
        <v>0.94399999999999995</v>
      </c>
      <c r="H8">
        <v>0.84299999999999997</v>
      </c>
      <c r="I8">
        <v>2.9</v>
      </c>
      <c r="J8">
        <v>4.0999999999999996</v>
      </c>
      <c r="K8">
        <v>3.8</v>
      </c>
      <c r="L8" t="s">
        <v>134</v>
      </c>
      <c r="M8">
        <v>575</v>
      </c>
      <c r="N8">
        <f t="shared" si="0"/>
        <v>575</v>
      </c>
      <c r="O8">
        <f t="shared" si="1"/>
        <v>575</v>
      </c>
    </row>
    <row r="9" spans="1:15" x14ac:dyDescent="0.45">
      <c r="A9" t="s">
        <v>87</v>
      </c>
      <c r="B9">
        <v>79</v>
      </c>
      <c r="C9">
        <v>40</v>
      </c>
      <c r="D9">
        <v>0.73399999999999999</v>
      </c>
      <c r="E9">
        <v>104894</v>
      </c>
      <c r="F9">
        <v>65</v>
      </c>
      <c r="G9">
        <v>0.67200000000000004</v>
      </c>
      <c r="H9">
        <v>0.47899999999999998</v>
      </c>
      <c r="I9">
        <v>3.2</v>
      </c>
      <c r="J9">
        <v>3.6</v>
      </c>
      <c r="K9">
        <v>3.3</v>
      </c>
      <c r="L9" t="s">
        <v>134</v>
      </c>
      <c r="M9">
        <v>585</v>
      </c>
      <c r="N9">
        <f t="shared" si="0"/>
        <v>585</v>
      </c>
      <c r="O9">
        <f t="shared" si="1"/>
        <v>585</v>
      </c>
    </row>
    <row r="10" spans="1:15" x14ac:dyDescent="0.45">
      <c r="A10" t="s">
        <v>90</v>
      </c>
      <c r="B10">
        <v>38</v>
      </c>
      <c r="C10">
        <v>65</v>
      </c>
      <c r="D10">
        <v>0.28100000000000003</v>
      </c>
      <c r="E10">
        <v>145695</v>
      </c>
      <c r="F10">
        <v>47</v>
      </c>
      <c r="G10">
        <v>0.93400000000000005</v>
      </c>
      <c r="H10">
        <v>0.83599999999999997</v>
      </c>
      <c r="I10">
        <v>3.6</v>
      </c>
      <c r="J10">
        <v>3.7</v>
      </c>
      <c r="K10">
        <v>3.5</v>
      </c>
      <c r="L10">
        <v>660</v>
      </c>
      <c r="M10">
        <v>570</v>
      </c>
      <c r="N10">
        <f t="shared" si="0"/>
        <v>615</v>
      </c>
      <c r="O10">
        <f t="shared" si="1"/>
        <v>615</v>
      </c>
    </row>
    <row r="11" spans="1:15" x14ac:dyDescent="0.45">
      <c r="A11" t="s">
        <v>71</v>
      </c>
      <c r="B11">
        <v>43</v>
      </c>
      <c r="C11">
        <v>59</v>
      </c>
      <c r="D11">
        <v>0.20200000000000001</v>
      </c>
      <c r="E11">
        <v>139142</v>
      </c>
      <c r="F11">
        <v>39</v>
      </c>
      <c r="G11">
        <v>0.95699999999999996</v>
      </c>
      <c r="H11">
        <v>0.76100000000000001</v>
      </c>
      <c r="I11">
        <v>2.8</v>
      </c>
      <c r="J11">
        <v>3.3</v>
      </c>
      <c r="K11">
        <v>3.4</v>
      </c>
      <c r="L11">
        <v>620</v>
      </c>
      <c r="M11" t="s">
        <v>134</v>
      </c>
      <c r="N11">
        <f t="shared" si="0"/>
        <v>620</v>
      </c>
      <c r="O11">
        <f t="shared" si="1"/>
        <v>620</v>
      </c>
    </row>
    <row r="12" spans="1:15" x14ac:dyDescent="0.45">
      <c r="A12" t="s">
        <v>63</v>
      </c>
      <c r="B12">
        <v>53</v>
      </c>
      <c r="C12">
        <v>54</v>
      </c>
      <c r="D12">
        <v>0.46300000000000002</v>
      </c>
      <c r="E12">
        <v>112850</v>
      </c>
      <c r="F12">
        <v>62</v>
      </c>
      <c r="G12">
        <v>0.83299999999999996</v>
      </c>
      <c r="H12">
        <v>0.63900000000000001</v>
      </c>
      <c r="I12">
        <v>3</v>
      </c>
      <c r="J12">
        <v>3.3</v>
      </c>
      <c r="K12">
        <v>3.5</v>
      </c>
      <c r="L12">
        <v>660</v>
      </c>
      <c r="M12">
        <v>595</v>
      </c>
      <c r="N12">
        <f t="shared" si="0"/>
        <v>627.5</v>
      </c>
      <c r="O12">
        <f t="shared" si="1"/>
        <v>627.5</v>
      </c>
    </row>
    <row r="13" spans="1:15" x14ac:dyDescent="0.45">
      <c r="A13" t="s">
        <v>10</v>
      </c>
      <c r="B13">
        <v>46</v>
      </c>
      <c r="C13">
        <v>58</v>
      </c>
      <c r="D13">
        <v>0.57699999999999996</v>
      </c>
      <c r="E13">
        <v>144216</v>
      </c>
      <c r="F13">
        <v>48</v>
      </c>
      <c r="G13">
        <v>0.84399999999999997</v>
      </c>
      <c r="H13">
        <v>0.73</v>
      </c>
      <c r="I13">
        <v>3.4</v>
      </c>
      <c r="J13">
        <v>3.5</v>
      </c>
      <c r="K13">
        <v>3.3</v>
      </c>
      <c r="L13">
        <v>630</v>
      </c>
      <c r="M13" t="s">
        <v>134</v>
      </c>
      <c r="N13">
        <f t="shared" si="0"/>
        <v>630</v>
      </c>
      <c r="O13">
        <f t="shared" si="1"/>
        <v>630</v>
      </c>
    </row>
    <row r="14" spans="1:15" x14ac:dyDescent="0.45">
      <c r="A14" t="s">
        <v>94</v>
      </c>
      <c r="B14">
        <v>52</v>
      </c>
      <c r="C14">
        <v>55</v>
      </c>
      <c r="D14">
        <v>0.33</v>
      </c>
      <c r="E14">
        <v>154865</v>
      </c>
      <c r="F14">
        <v>36</v>
      </c>
      <c r="G14">
        <v>0.79</v>
      </c>
      <c r="H14">
        <v>0.629</v>
      </c>
      <c r="I14">
        <v>3.5</v>
      </c>
      <c r="J14">
        <v>3.2</v>
      </c>
      <c r="K14">
        <v>3.2</v>
      </c>
      <c r="L14">
        <v>630</v>
      </c>
      <c r="M14" t="s">
        <v>134</v>
      </c>
      <c r="N14">
        <f t="shared" si="0"/>
        <v>630</v>
      </c>
      <c r="O14">
        <f t="shared" si="1"/>
        <v>630</v>
      </c>
    </row>
    <row r="15" spans="1:15" x14ac:dyDescent="0.45">
      <c r="A15" t="s">
        <v>33</v>
      </c>
      <c r="B15">
        <v>58</v>
      </c>
      <c r="C15">
        <v>52</v>
      </c>
      <c r="D15">
        <v>0.58599999999999997</v>
      </c>
      <c r="E15">
        <v>139137</v>
      </c>
      <c r="F15">
        <v>50</v>
      </c>
      <c r="G15">
        <v>0.86499999999999999</v>
      </c>
      <c r="H15">
        <v>0.59599999999999997</v>
      </c>
      <c r="I15">
        <v>3.1</v>
      </c>
      <c r="J15">
        <v>3.4</v>
      </c>
      <c r="K15">
        <v>3.2</v>
      </c>
      <c r="L15">
        <v>640</v>
      </c>
      <c r="M15" t="s">
        <v>134</v>
      </c>
      <c r="N15">
        <f t="shared" si="0"/>
        <v>640</v>
      </c>
      <c r="O15">
        <f t="shared" si="1"/>
        <v>640</v>
      </c>
    </row>
    <row r="16" spans="1:15" x14ac:dyDescent="0.45">
      <c r="A16" t="s">
        <v>84</v>
      </c>
      <c r="B16">
        <v>68</v>
      </c>
      <c r="C16">
        <v>47</v>
      </c>
      <c r="D16">
        <v>0.27400000000000002</v>
      </c>
      <c r="E16">
        <v>118476</v>
      </c>
      <c r="F16">
        <v>59</v>
      </c>
      <c r="G16">
        <v>0.70399999999999996</v>
      </c>
      <c r="H16">
        <v>0.59299999999999997</v>
      </c>
      <c r="I16">
        <v>3.1</v>
      </c>
      <c r="J16">
        <v>3.3</v>
      </c>
      <c r="K16">
        <v>3.4</v>
      </c>
      <c r="L16">
        <v>640</v>
      </c>
      <c r="M16" t="s">
        <v>134</v>
      </c>
      <c r="N16">
        <f t="shared" si="0"/>
        <v>640</v>
      </c>
      <c r="O16">
        <f t="shared" si="1"/>
        <v>640</v>
      </c>
    </row>
    <row r="17" spans="1:15" x14ac:dyDescent="0.45">
      <c r="A17" t="s">
        <v>70</v>
      </c>
      <c r="B17">
        <v>43</v>
      </c>
      <c r="C17">
        <v>59</v>
      </c>
      <c r="D17">
        <v>0.35499999999999998</v>
      </c>
      <c r="E17">
        <v>147822</v>
      </c>
      <c r="F17">
        <v>33</v>
      </c>
      <c r="G17">
        <v>0.8</v>
      </c>
      <c r="H17">
        <v>0.65</v>
      </c>
      <c r="I17">
        <v>3.4</v>
      </c>
      <c r="J17">
        <v>3.5</v>
      </c>
      <c r="K17">
        <v>3.3</v>
      </c>
      <c r="L17">
        <v>690</v>
      </c>
      <c r="M17">
        <v>595</v>
      </c>
      <c r="N17">
        <f t="shared" si="0"/>
        <v>642.5</v>
      </c>
      <c r="O17">
        <f t="shared" si="1"/>
        <v>642.5</v>
      </c>
    </row>
    <row r="18" spans="1:15" x14ac:dyDescent="0.45">
      <c r="A18" t="s">
        <v>116</v>
      </c>
      <c r="B18">
        <v>40</v>
      </c>
      <c r="C18">
        <v>61</v>
      </c>
      <c r="D18">
        <v>0.48499999999999999</v>
      </c>
      <c r="E18">
        <v>123028</v>
      </c>
      <c r="F18">
        <v>52</v>
      </c>
      <c r="G18">
        <v>0.90200000000000002</v>
      </c>
      <c r="H18">
        <v>0.68899999999999995</v>
      </c>
      <c r="I18">
        <v>3.2</v>
      </c>
      <c r="J18">
        <v>3.8</v>
      </c>
      <c r="K18">
        <v>3.5</v>
      </c>
      <c r="L18">
        <v>645</v>
      </c>
      <c r="M18" t="s">
        <v>134</v>
      </c>
      <c r="N18">
        <f t="shared" si="0"/>
        <v>645</v>
      </c>
      <c r="O18">
        <f t="shared" si="1"/>
        <v>645</v>
      </c>
    </row>
    <row r="19" spans="1:15" x14ac:dyDescent="0.45">
      <c r="A19" t="s">
        <v>23</v>
      </c>
      <c r="B19">
        <v>61</v>
      </c>
      <c r="C19">
        <v>51</v>
      </c>
      <c r="D19">
        <v>0.56000000000000005</v>
      </c>
      <c r="E19">
        <v>128789</v>
      </c>
      <c r="F19">
        <v>59</v>
      </c>
      <c r="G19">
        <v>0.83099999999999996</v>
      </c>
      <c r="H19">
        <v>0.625</v>
      </c>
      <c r="I19">
        <v>3</v>
      </c>
      <c r="J19">
        <v>3.8</v>
      </c>
      <c r="K19">
        <v>3</v>
      </c>
      <c r="L19">
        <v>650</v>
      </c>
      <c r="M19" t="s">
        <v>134</v>
      </c>
      <c r="N19">
        <f t="shared" si="0"/>
        <v>650</v>
      </c>
      <c r="O19">
        <f t="shared" si="1"/>
        <v>650</v>
      </c>
    </row>
    <row r="20" spans="1:15" x14ac:dyDescent="0.45">
      <c r="A20" t="s">
        <v>76</v>
      </c>
      <c r="B20">
        <v>54</v>
      </c>
      <c r="C20">
        <v>53</v>
      </c>
      <c r="D20">
        <v>0.40500000000000003</v>
      </c>
      <c r="E20">
        <v>79470</v>
      </c>
      <c r="F20">
        <v>104</v>
      </c>
      <c r="G20">
        <v>0.89100000000000001</v>
      </c>
      <c r="H20">
        <v>0.73099999999999998</v>
      </c>
      <c r="I20">
        <v>2.9</v>
      </c>
      <c r="J20">
        <v>3.3</v>
      </c>
      <c r="K20">
        <v>3.8</v>
      </c>
      <c r="L20">
        <v>650</v>
      </c>
      <c r="M20" t="s">
        <v>134</v>
      </c>
      <c r="N20">
        <f t="shared" si="0"/>
        <v>650</v>
      </c>
      <c r="O20">
        <f t="shared" si="1"/>
        <v>650</v>
      </c>
    </row>
    <row r="21" spans="1:15" x14ac:dyDescent="0.45">
      <c r="A21" t="s">
        <v>80</v>
      </c>
      <c r="B21">
        <v>65</v>
      </c>
      <c r="C21">
        <v>49</v>
      </c>
      <c r="D21">
        <v>0.33900000000000002</v>
      </c>
      <c r="E21">
        <v>119953</v>
      </c>
      <c r="F21">
        <v>56</v>
      </c>
      <c r="G21">
        <v>0.68799999999999994</v>
      </c>
      <c r="H21">
        <v>0.40600000000000003</v>
      </c>
      <c r="I21">
        <v>3.3</v>
      </c>
      <c r="J21">
        <v>3.5</v>
      </c>
      <c r="K21">
        <v>3.4</v>
      </c>
      <c r="L21">
        <v>650</v>
      </c>
      <c r="M21" t="s">
        <v>134</v>
      </c>
      <c r="N21">
        <f t="shared" si="0"/>
        <v>650</v>
      </c>
      <c r="O21">
        <f t="shared" si="1"/>
        <v>650</v>
      </c>
    </row>
    <row r="22" spans="1:15" x14ac:dyDescent="0.45">
      <c r="A22" t="s">
        <v>13</v>
      </c>
      <c r="B22">
        <v>38</v>
      </c>
      <c r="C22">
        <v>65</v>
      </c>
      <c r="D22">
        <v>0.58399999999999996</v>
      </c>
      <c r="E22">
        <v>136687</v>
      </c>
      <c r="F22">
        <v>36</v>
      </c>
      <c r="G22">
        <v>0.88900000000000001</v>
      </c>
      <c r="H22">
        <v>0.749</v>
      </c>
      <c r="I22">
        <v>3.1</v>
      </c>
      <c r="J22">
        <v>3.2</v>
      </c>
      <c r="K22">
        <v>3.7</v>
      </c>
      <c r="L22">
        <v>680</v>
      </c>
      <c r="M22">
        <v>625</v>
      </c>
      <c r="N22">
        <f t="shared" si="0"/>
        <v>652.5</v>
      </c>
      <c r="O22">
        <f t="shared" si="1"/>
        <v>652.5</v>
      </c>
    </row>
    <row r="23" spans="1:15" x14ac:dyDescent="0.45">
      <c r="A23" t="s">
        <v>119</v>
      </c>
      <c r="B23">
        <v>40</v>
      </c>
      <c r="C23">
        <v>61</v>
      </c>
      <c r="D23">
        <v>0.48799999999999999</v>
      </c>
      <c r="E23">
        <v>145678</v>
      </c>
      <c r="F23">
        <v>28</v>
      </c>
      <c r="G23">
        <v>0.77100000000000002</v>
      </c>
      <c r="H23">
        <v>0.60399999999999998</v>
      </c>
      <c r="I23">
        <v>3.5</v>
      </c>
      <c r="J23">
        <v>3.6</v>
      </c>
      <c r="K23">
        <v>3.4</v>
      </c>
      <c r="L23">
        <v>655</v>
      </c>
      <c r="M23" t="s">
        <v>134</v>
      </c>
      <c r="N23">
        <f t="shared" si="0"/>
        <v>655</v>
      </c>
      <c r="O23">
        <f t="shared" si="1"/>
        <v>655</v>
      </c>
    </row>
    <row r="24" spans="1:15" x14ac:dyDescent="0.45">
      <c r="A24" t="s">
        <v>6</v>
      </c>
      <c r="B24">
        <v>73</v>
      </c>
      <c r="C24">
        <v>44</v>
      </c>
      <c r="D24">
        <v>0.66</v>
      </c>
      <c r="E24">
        <v>114228</v>
      </c>
      <c r="F24">
        <v>57</v>
      </c>
      <c r="G24">
        <v>0.70199999999999996</v>
      </c>
      <c r="H24">
        <v>0.51800000000000002</v>
      </c>
      <c r="I24">
        <v>3.2</v>
      </c>
      <c r="J24">
        <v>3.3</v>
      </c>
      <c r="K24">
        <v>3.3</v>
      </c>
      <c r="L24">
        <v>660</v>
      </c>
      <c r="M24" t="s">
        <v>134</v>
      </c>
      <c r="N24">
        <f t="shared" si="0"/>
        <v>660</v>
      </c>
      <c r="O24">
        <f t="shared" si="1"/>
        <v>660</v>
      </c>
    </row>
    <row r="25" spans="1:15" x14ac:dyDescent="0.45">
      <c r="A25" t="s">
        <v>81</v>
      </c>
      <c r="B25">
        <v>43</v>
      </c>
      <c r="C25">
        <v>59</v>
      </c>
      <c r="D25">
        <v>0.26700000000000002</v>
      </c>
      <c r="E25">
        <v>137814</v>
      </c>
      <c r="F25">
        <v>42</v>
      </c>
      <c r="G25">
        <v>0.75800000000000001</v>
      </c>
      <c r="H25">
        <v>0.59699999999999998</v>
      </c>
      <c r="I25">
        <v>3.3</v>
      </c>
      <c r="J25">
        <v>3.4</v>
      </c>
      <c r="K25">
        <v>3.5</v>
      </c>
      <c r="L25">
        <v>660</v>
      </c>
      <c r="M25" t="s">
        <v>134</v>
      </c>
      <c r="N25">
        <f t="shared" si="0"/>
        <v>660</v>
      </c>
      <c r="O25">
        <f t="shared" si="1"/>
        <v>660</v>
      </c>
    </row>
    <row r="26" spans="1:15" x14ac:dyDescent="0.45">
      <c r="A26" t="s">
        <v>99</v>
      </c>
      <c r="B26">
        <v>35</v>
      </c>
      <c r="C26">
        <v>66</v>
      </c>
      <c r="D26">
        <v>0.45800000000000002</v>
      </c>
      <c r="E26">
        <v>162503</v>
      </c>
      <c r="F26">
        <v>33</v>
      </c>
      <c r="G26">
        <v>0.82799999999999996</v>
      </c>
      <c r="H26">
        <v>0.66400000000000003</v>
      </c>
      <c r="I26">
        <v>3.6</v>
      </c>
      <c r="J26">
        <v>3.4</v>
      </c>
      <c r="K26">
        <v>3.6</v>
      </c>
      <c r="L26">
        <v>660</v>
      </c>
      <c r="M26" t="s">
        <v>134</v>
      </c>
      <c r="N26">
        <f t="shared" si="0"/>
        <v>660</v>
      </c>
      <c r="O26">
        <f t="shared" si="1"/>
        <v>660</v>
      </c>
    </row>
    <row r="27" spans="1:15" x14ac:dyDescent="0.45">
      <c r="A27" t="s">
        <v>34</v>
      </c>
      <c r="B27">
        <v>61</v>
      </c>
      <c r="C27">
        <v>51</v>
      </c>
      <c r="D27">
        <v>0.216</v>
      </c>
      <c r="E27">
        <v>133014</v>
      </c>
      <c r="F27">
        <v>55</v>
      </c>
      <c r="G27">
        <v>0.72099999999999997</v>
      </c>
      <c r="H27">
        <v>0.45300000000000001</v>
      </c>
      <c r="I27">
        <v>3.2</v>
      </c>
      <c r="J27">
        <v>3.5</v>
      </c>
      <c r="K27">
        <v>3.4</v>
      </c>
      <c r="L27">
        <v>670</v>
      </c>
      <c r="M27" t="s">
        <v>134</v>
      </c>
      <c r="N27">
        <f t="shared" si="0"/>
        <v>670</v>
      </c>
      <c r="O27">
        <f t="shared" si="1"/>
        <v>670</v>
      </c>
    </row>
    <row r="28" spans="1:15" x14ac:dyDescent="0.45">
      <c r="A28" t="s">
        <v>74</v>
      </c>
      <c r="B28">
        <v>54</v>
      </c>
      <c r="C28">
        <v>53</v>
      </c>
      <c r="D28">
        <v>0.52500000000000002</v>
      </c>
      <c r="E28">
        <v>100539</v>
      </c>
      <c r="F28">
        <v>63</v>
      </c>
      <c r="G28">
        <v>0.92</v>
      </c>
      <c r="H28">
        <v>0.64</v>
      </c>
      <c r="I28">
        <v>3.3</v>
      </c>
      <c r="J28">
        <v>3.5</v>
      </c>
      <c r="K28">
        <v>3.5</v>
      </c>
      <c r="L28">
        <v>672</v>
      </c>
      <c r="M28" t="s">
        <v>134</v>
      </c>
      <c r="N28">
        <f t="shared" si="0"/>
        <v>672</v>
      </c>
      <c r="O28">
        <f t="shared" si="1"/>
        <v>672</v>
      </c>
    </row>
    <row r="29" spans="1:15" x14ac:dyDescent="0.45">
      <c r="A29" t="s">
        <v>48</v>
      </c>
      <c r="B29">
        <v>35</v>
      </c>
      <c r="C29">
        <v>66</v>
      </c>
      <c r="D29">
        <v>0.154</v>
      </c>
      <c r="E29">
        <v>136091</v>
      </c>
      <c r="F29">
        <v>23</v>
      </c>
      <c r="G29">
        <v>0.84399999999999997</v>
      </c>
      <c r="H29">
        <v>0.71899999999999997</v>
      </c>
      <c r="I29">
        <v>3.4</v>
      </c>
      <c r="J29">
        <v>3.5</v>
      </c>
      <c r="K29">
        <v>3.5</v>
      </c>
      <c r="L29">
        <v>680</v>
      </c>
      <c r="M29" t="s">
        <v>134</v>
      </c>
      <c r="N29">
        <f t="shared" si="0"/>
        <v>680</v>
      </c>
      <c r="O29">
        <f t="shared" si="1"/>
        <v>680</v>
      </c>
    </row>
    <row r="30" spans="1:15" x14ac:dyDescent="0.45">
      <c r="A30" t="s">
        <v>108</v>
      </c>
      <c r="B30">
        <v>32</v>
      </c>
      <c r="C30">
        <v>69</v>
      </c>
      <c r="D30">
        <v>0.14899999999999999</v>
      </c>
      <c r="E30">
        <v>164035</v>
      </c>
      <c r="F30">
        <v>31</v>
      </c>
      <c r="G30">
        <v>0.88700000000000001</v>
      </c>
      <c r="H30">
        <v>0.69099999999999995</v>
      </c>
      <c r="I30">
        <v>3.2</v>
      </c>
      <c r="J30">
        <v>3.3</v>
      </c>
      <c r="K30">
        <v>3.5</v>
      </c>
      <c r="L30">
        <v>680</v>
      </c>
      <c r="M30" t="s">
        <v>134</v>
      </c>
      <c r="N30">
        <f t="shared" si="0"/>
        <v>680</v>
      </c>
      <c r="O30">
        <f t="shared" si="1"/>
        <v>680</v>
      </c>
    </row>
    <row r="31" spans="1:15" x14ac:dyDescent="0.45">
      <c r="A31" t="s">
        <v>38</v>
      </c>
      <c r="B31">
        <v>22</v>
      </c>
      <c r="C31">
        <v>76</v>
      </c>
      <c r="D31">
        <v>0.28999999999999998</v>
      </c>
      <c r="E31">
        <v>169304</v>
      </c>
      <c r="F31">
        <v>28</v>
      </c>
      <c r="G31">
        <v>0.90800000000000003</v>
      </c>
      <c r="H31">
        <v>0.80300000000000005</v>
      </c>
      <c r="I31">
        <v>3.9</v>
      </c>
      <c r="J31">
        <v>3.7</v>
      </c>
      <c r="K31">
        <v>3.4</v>
      </c>
      <c r="L31">
        <v>690</v>
      </c>
      <c r="M31" t="s">
        <v>134</v>
      </c>
      <c r="N31">
        <f t="shared" si="0"/>
        <v>690</v>
      </c>
      <c r="O31">
        <f t="shared" si="1"/>
        <v>690</v>
      </c>
    </row>
    <row r="32" spans="1:15" x14ac:dyDescent="0.45">
      <c r="A32" t="s">
        <v>55</v>
      </c>
      <c r="B32">
        <v>24</v>
      </c>
      <c r="C32">
        <v>74</v>
      </c>
      <c r="D32">
        <v>8.5999999999999993E-2</v>
      </c>
      <c r="E32">
        <v>151681</v>
      </c>
      <c r="F32">
        <v>41</v>
      </c>
      <c r="G32">
        <v>0.879</v>
      </c>
      <c r="H32">
        <v>0.81299999999999994</v>
      </c>
      <c r="I32">
        <v>3.7</v>
      </c>
      <c r="J32">
        <v>3.4</v>
      </c>
      <c r="K32">
        <v>3.6</v>
      </c>
      <c r="L32">
        <v>690</v>
      </c>
      <c r="M32" t="s">
        <v>134</v>
      </c>
      <c r="N32">
        <f t="shared" si="0"/>
        <v>690</v>
      </c>
      <c r="O32">
        <f t="shared" si="1"/>
        <v>690</v>
      </c>
    </row>
    <row r="33" spans="1:15" x14ac:dyDescent="0.45">
      <c r="A33" t="s">
        <v>11</v>
      </c>
      <c r="B33">
        <v>46</v>
      </c>
      <c r="C33">
        <v>58</v>
      </c>
      <c r="D33">
        <v>0.33300000000000002</v>
      </c>
      <c r="E33">
        <v>135480</v>
      </c>
      <c r="F33">
        <v>42</v>
      </c>
      <c r="G33">
        <v>0.84</v>
      </c>
      <c r="H33">
        <v>0.49199999999999999</v>
      </c>
      <c r="I33">
        <v>3.3</v>
      </c>
      <c r="J33">
        <v>3.2</v>
      </c>
      <c r="K33">
        <v>3.4</v>
      </c>
      <c r="L33">
        <v>700</v>
      </c>
      <c r="M33" t="s">
        <v>134</v>
      </c>
      <c r="N33">
        <f t="shared" si="0"/>
        <v>700</v>
      </c>
      <c r="O33">
        <f t="shared" si="1"/>
        <v>700</v>
      </c>
    </row>
    <row r="34" spans="1:15" x14ac:dyDescent="0.45">
      <c r="A34" t="s">
        <v>15</v>
      </c>
      <c r="B34">
        <v>18</v>
      </c>
      <c r="C34">
        <v>79</v>
      </c>
      <c r="D34">
        <v>0.26600000000000001</v>
      </c>
      <c r="E34">
        <v>188465</v>
      </c>
      <c r="F34">
        <v>16</v>
      </c>
      <c r="G34">
        <v>0.85799999999999998</v>
      </c>
      <c r="H34">
        <v>0.73</v>
      </c>
      <c r="I34">
        <v>4.0999999999999996</v>
      </c>
      <c r="J34">
        <v>4.0999999999999996</v>
      </c>
      <c r="K34">
        <v>3.3</v>
      </c>
      <c r="L34">
        <v>700</v>
      </c>
      <c r="M34" t="s">
        <v>134</v>
      </c>
      <c r="N34">
        <f t="shared" ref="N34:N65" si="2">AVERAGE(L34:M34)</f>
        <v>700</v>
      </c>
      <c r="O34">
        <f t="shared" si="1"/>
        <v>700</v>
      </c>
    </row>
    <row r="35" spans="1:15" x14ac:dyDescent="0.45">
      <c r="A35" t="s">
        <v>35</v>
      </c>
      <c r="B35">
        <v>24</v>
      </c>
      <c r="C35">
        <v>74</v>
      </c>
      <c r="D35">
        <v>0.60299999999999998</v>
      </c>
      <c r="E35">
        <v>179651</v>
      </c>
      <c r="F35">
        <v>26</v>
      </c>
      <c r="G35">
        <v>0.88800000000000001</v>
      </c>
      <c r="H35">
        <v>0.72299999999999998</v>
      </c>
      <c r="I35">
        <v>3.7</v>
      </c>
      <c r="J35">
        <v>3.9</v>
      </c>
      <c r="K35">
        <v>3.4</v>
      </c>
      <c r="L35">
        <v>700</v>
      </c>
      <c r="M35" t="s">
        <v>134</v>
      </c>
      <c r="N35">
        <f t="shared" si="2"/>
        <v>700</v>
      </c>
      <c r="O35">
        <f t="shared" si="1"/>
        <v>700</v>
      </c>
    </row>
    <row r="36" spans="1:15" x14ac:dyDescent="0.45">
      <c r="A36" t="s">
        <v>36</v>
      </c>
      <c r="B36">
        <v>21</v>
      </c>
      <c r="C36">
        <v>77</v>
      </c>
      <c r="D36">
        <v>0.182</v>
      </c>
      <c r="E36">
        <v>175184</v>
      </c>
      <c r="F36">
        <v>25</v>
      </c>
      <c r="G36">
        <v>0.91900000000000004</v>
      </c>
      <c r="H36">
        <v>0.80100000000000005</v>
      </c>
      <c r="I36">
        <v>3.6</v>
      </c>
      <c r="J36">
        <v>3.7</v>
      </c>
      <c r="K36">
        <v>3.4</v>
      </c>
      <c r="L36">
        <v>700</v>
      </c>
      <c r="M36" t="s">
        <v>134</v>
      </c>
      <c r="N36">
        <f t="shared" si="2"/>
        <v>700</v>
      </c>
      <c r="O36">
        <f t="shared" si="1"/>
        <v>700</v>
      </c>
    </row>
    <row r="37" spans="1:15" x14ac:dyDescent="0.45">
      <c r="A37" t="s">
        <v>91</v>
      </c>
      <c r="B37">
        <v>29</v>
      </c>
      <c r="C37">
        <v>71</v>
      </c>
      <c r="D37">
        <v>0.38500000000000001</v>
      </c>
      <c r="E37">
        <v>147893</v>
      </c>
      <c r="F37">
        <v>50</v>
      </c>
      <c r="G37">
        <v>0.95899999999999996</v>
      </c>
      <c r="H37">
        <v>0.85099999999999998</v>
      </c>
      <c r="I37">
        <v>3.5</v>
      </c>
      <c r="J37">
        <v>3.6</v>
      </c>
      <c r="K37">
        <v>3.5</v>
      </c>
      <c r="L37">
        <v>700</v>
      </c>
      <c r="M37" t="s">
        <v>134</v>
      </c>
      <c r="N37">
        <f t="shared" si="2"/>
        <v>700</v>
      </c>
      <c r="O37">
        <f t="shared" si="1"/>
        <v>700</v>
      </c>
    </row>
    <row r="38" spans="1:15" x14ac:dyDescent="0.45">
      <c r="A38" t="s">
        <v>103</v>
      </c>
      <c r="B38">
        <v>32</v>
      </c>
      <c r="C38">
        <v>69</v>
      </c>
      <c r="D38">
        <v>0.33800000000000002</v>
      </c>
      <c r="E38">
        <v>163936</v>
      </c>
      <c r="F38">
        <v>32</v>
      </c>
      <c r="G38">
        <v>0.82599999999999996</v>
      </c>
      <c r="H38">
        <v>0.71099999999999997</v>
      </c>
      <c r="I38">
        <v>3.6</v>
      </c>
      <c r="J38">
        <v>3.6</v>
      </c>
      <c r="K38">
        <v>3.4</v>
      </c>
      <c r="L38">
        <v>700</v>
      </c>
      <c r="M38" t="s">
        <v>134</v>
      </c>
      <c r="N38">
        <f t="shared" si="2"/>
        <v>700</v>
      </c>
      <c r="O38">
        <f t="shared" si="1"/>
        <v>700</v>
      </c>
    </row>
    <row r="39" spans="1:15" x14ac:dyDescent="0.45">
      <c r="A39" t="s">
        <v>118</v>
      </c>
      <c r="B39">
        <v>22</v>
      </c>
      <c r="C39">
        <v>76</v>
      </c>
      <c r="D39">
        <v>0.38500000000000001</v>
      </c>
      <c r="E39">
        <v>183128</v>
      </c>
      <c r="F39">
        <v>14</v>
      </c>
      <c r="G39">
        <v>0.88900000000000001</v>
      </c>
      <c r="H39">
        <v>0.76800000000000002</v>
      </c>
      <c r="I39">
        <v>3.7</v>
      </c>
      <c r="J39">
        <v>3.5</v>
      </c>
      <c r="K39">
        <v>3.4</v>
      </c>
      <c r="L39">
        <v>705</v>
      </c>
      <c r="M39" t="s">
        <v>134</v>
      </c>
      <c r="N39">
        <f t="shared" si="2"/>
        <v>705</v>
      </c>
      <c r="O39">
        <f t="shared" si="1"/>
        <v>705</v>
      </c>
    </row>
    <row r="40" spans="1:15" x14ac:dyDescent="0.45">
      <c r="A40" t="s">
        <v>4</v>
      </c>
      <c r="B40">
        <v>35</v>
      </c>
      <c r="C40">
        <v>66</v>
      </c>
      <c r="D40">
        <v>0.188</v>
      </c>
      <c r="E40">
        <v>134476</v>
      </c>
      <c r="F40">
        <v>42</v>
      </c>
      <c r="G40">
        <v>0.89</v>
      </c>
      <c r="H40">
        <v>0.68</v>
      </c>
      <c r="I40">
        <v>3.5</v>
      </c>
      <c r="J40">
        <v>3.3</v>
      </c>
      <c r="K40">
        <v>3.6</v>
      </c>
      <c r="L40">
        <v>710</v>
      </c>
      <c r="M40" t="s">
        <v>134</v>
      </c>
      <c r="N40">
        <f t="shared" si="2"/>
        <v>710</v>
      </c>
      <c r="O40">
        <f t="shared" si="1"/>
        <v>710</v>
      </c>
    </row>
    <row r="41" spans="1:15" x14ac:dyDescent="0.45">
      <c r="A41" t="s">
        <v>25</v>
      </c>
      <c r="B41">
        <v>15</v>
      </c>
      <c r="C41">
        <v>86</v>
      </c>
      <c r="D41">
        <v>0.28100000000000003</v>
      </c>
      <c r="E41">
        <v>196826</v>
      </c>
      <c r="F41">
        <v>14</v>
      </c>
      <c r="G41">
        <v>0.86399999999999999</v>
      </c>
      <c r="H41">
        <v>0.80200000000000005</v>
      </c>
      <c r="I41">
        <v>4.2</v>
      </c>
      <c r="J41">
        <v>4.0999999999999996</v>
      </c>
      <c r="K41">
        <v>3.4</v>
      </c>
      <c r="L41">
        <v>710</v>
      </c>
      <c r="M41" t="s">
        <v>134</v>
      </c>
      <c r="N41">
        <f t="shared" si="2"/>
        <v>710</v>
      </c>
      <c r="O41">
        <f t="shared" si="1"/>
        <v>710</v>
      </c>
    </row>
    <row r="42" spans="1:15" x14ac:dyDescent="0.45">
      <c r="A42" t="s">
        <v>31</v>
      </c>
      <c r="B42">
        <v>17</v>
      </c>
      <c r="C42">
        <v>80</v>
      </c>
      <c r="D42">
        <v>0.36799999999999999</v>
      </c>
      <c r="E42">
        <v>181374</v>
      </c>
      <c r="F42">
        <v>24</v>
      </c>
      <c r="G42">
        <v>0.89500000000000002</v>
      </c>
      <c r="H42">
        <v>0.79900000000000004</v>
      </c>
      <c r="I42">
        <v>3.8</v>
      </c>
      <c r="J42">
        <v>3.7</v>
      </c>
      <c r="K42">
        <v>3.5</v>
      </c>
      <c r="L42">
        <v>710</v>
      </c>
      <c r="M42" t="s">
        <v>134</v>
      </c>
      <c r="N42">
        <f t="shared" si="2"/>
        <v>710</v>
      </c>
      <c r="O42">
        <f t="shared" si="1"/>
        <v>710</v>
      </c>
    </row>
    <row r="43" spans="1:15" x14ac:dyDescent="0.45">
      <c r="A43" t="s">
        <v>61</v>
      </c>
      <c r="B43">
        <v>29</v>
      </c>
      <c r="C43">
        <v>71</v>
      </c>
      <c r="D43">
        <v>0.34300000000000003</v>
      </c>
      <c r="E43">
        <v>176163</v>
      </c>
      <c r="F43">
        <v>17</v>
      </c>
      <c r="G43">
        <v>0.79900000000000004</v>
      </c>
      <c r="H43">
        <v>0.68300000000000005</v>
      </c>
      <c r="I43">
        <v>3.6</v>
      </c>
      <c r="J43">
        <v>3.6</v>
      </c>
      <c r="K43">
        <v>3.5</v>
      </c>
      <c r="L43">
        <v>710</v>
      </c>
      <c r="M43" t="s">
        <v>134</v>
      </c>
      <c r="N43">
        <f t="shared" si="2"/>
        <v>710</v>
      </c>
      <c r="O43">
        <f t="shared" si="1"/>
        <v>710</v>
      </c>
    </row>
    <row r="44" spans="1:15" x14ac:dyDescent="0.45">
      <c r="A44" t="s">
        <v>64</v>
      </c>
      <c r="B44">
        <v>34</v>
      </c>
      <c r="C44">
        <v>67</v>
      </c>
      <c r="D44">
        <v>0.29299999999999998</v>
      </c>
      <c r="E44">
        <v>157290</v>
      </c>
      <c r="F44">
        <v>42</v>
      </c>
      <c r="G44">
        <v>0.85099999999999998</v>
      </c>
      <c r="H44">
        <v>0.755</v>
      </c>
      <c r="I44">
        <v>3.2</v>
      </c>
      <c r="J44">
        <v>3.4</v>
      </c>
      <c r="K44">
        <v>3.6</v>
      </c>
      <c r="L44">
        <v>710</v>
      </c>
      <c r="M44" t="s">
        <v>134</v>
      </c>
      <c r="N44">
        <f t="shared" si="2"/>
        <v>710</v>
      </c>
      <c r="O44">
        <f t="shared" si="1"/>
        <v>710</v>
      </c>
    </row>
    <row r="45" spans="1:15" x14ac:dyDescent="0.45">
      <c r="A45" t="s">
        <v>73</v>
      </c>
      <c r="B45">
        <v>16</v>
      </c>
      <c r="C45">
        <v>82</v>
      </c>
      <c r="D45">
        <v>0.379</v>
      </c>
      <c r="E45">
        <v>180588</v>
      </c>
      <c r="F45">
        <v>21</v>
      </c>
      <c r="G45">
        <v>0.872</v>
      </c>
      <c r="H45">
        <v>0.73799999999999999</v>
      </c>
      <c r="I45">
        <v>4</v>
      </c>
      <c r="J45">
        <v>4</v>
      </c>
      <c r="K45">
        <v>3.5</v>
      </c>
      <c r="L45">
        <v>710</v>
      </c>
      <c r="M45" t="s">
        <v>134</v>
      </c>
      <c r="N45">
        <f t="shared" si="2"/>
        <v>710</v>
      </c>
      <c r="O45">
        <f t="shared" si="1"/>
        <v>710</v>
      </c>
    </row>
    <row r="46" spans="1:15" x14ac:dyDescent="0.45">
      <c r="A46" t="s">
        <v>102</v>
      </c>
      <c r="B46">
        <v>28</v>
      </c>
      <c r="C46">
        <v>73</v>
      </c>
      <c r="D46">
        <v>0.36899999999999999</v>
      </c>
      <c r="E46">
        <v>172086</v>
      </c>
      <c r="F46">
        <v>26</v>
      </c>
      <c r="G46">
        <v>0.84799999999999998</v>
      </c>
      <c r="H46">
        <v>0.73899999999999999</v>
      </c>
      <c r="I46">
        <v>3.9</v>
      </c>
      <c r="J46">
        <v>3.7</v>
      </c>
      <c r="K46">
        <v>3.4</v>
      </c>
      <c r="L46">
        <v>710</v>
      </c>
      <c r="M46" t="s">
        <v>134</v>
      </c>
      <c r="N46">
        <f t="shared" si="2"/>
        <v>710</v>
      </c>
      <c r="O46">
        <f t="shared" si="1"/>
        <v>710</v>
      </c>
    </row>
    <row r="47" spans="1:15" x14ac:dyDescent="0.45">
      <c r="A47" t="s">
        <v>29</v>
      </c>
      <c r="B47">
        <v>13</v>
      </c>
      <c r="C47">
        <v>87</v>
      </c>
      <c r="D47">
        <v>0.19500000000000001</v>
      </c>
      <c r="E47">
        <v>193926</v>
      </c>
      <c r="F47">
        <v>11</v>
      </c>
      <c r="G47">
        <v>0.872</v>
      </c>
      <c r="H47">
        <v>0.79300000000000004</v>
      </c>
      <c r="I47">
        <v>4.2</v>
      </c>
      <c r="J47">
        <v>4.0999999999999996</v>
      </c>
      <c r="K47">
        <v>3.6</v>
      </c>
      <c r="L47">
        <v>720</v>
      </c>
      <c r="M47" t="s">
        <v>134</v>
      </c>
      <c r="N47">
        <f t="shared" si="2"/>
        <v>720</v>
      </c>
      <c r="O47">
        <f t="shared" si="1"/>
        <v>720</v>
      </c>
    </row>
    <row r="48" spans="1:15" x14ac:dyDescent="0.45">
      <c r="A48" t="s">
        <v>82</v>
      </c>
      <c r="B48">
        <v>18</v>
      </c>
      <c r="C48">
        <v>79</v>
      </c>
      <c r="D48">
        <v>0.307</v>
      </c>
      <c r="E48">
        <v>175547</v>
      </c>
      <c r="F48">
        <v>17</v>
      </c>
      <c r="G48">
        <v>0.81399999999999995</v>
      </c>
      <c r="H48">
        <v>0.66300000000000003</v>
      </c>
      <c r="I48">
        <v>4.0999999999999996</v>
      </c>
      <c r="J48">
        <v>4</v>
      </c>
      <c r="K48">
        <v>3.5</v>
      </c>
      <c r="L48">
        <v>720</v>
      </c>
      <c r="M48" t="s">
        <v>134</v>
      </c>
      <c r="N48">
        <f t="shared" si="2"/>
        <v>720</v>
      </c>
      <c r="O48">
        <f t="shared" si="1"/>
        <v>720</v>
      </c>
    </row>
    <row r="49" spans="1:15" x14ac:dyDescent="0.45">
      <c r="A49" t="s">
        <v>113</v>
      </c>
      <c r="B49">
        <v>24</v>
      </c>
      <c r="C49">
        <v>74</v>
      </c>
      <c r="D49">
        <v>0.23100000000000001</v>
      </c>
      <c r="E49">
        <v>171568</v>
      </c>
      <c r="F49">
        <v>21</v>
      </c>
      <c r="G49">
        <v>0.83099999999999996</v>
      </c>
      <c r="H49">
        <v>0.622</v>
      </c>
      <c r="I49">
        <v>3.9</v>
      </c>
      <c r="J49">
        <v>3.8</v>
      </c>
      <c r="K49">
        <v>3.5</v>
      </c>
      <c r="L49">
        <v>720</v>
      </c>
      <c r="M49" t="s">
        <v>134</v>
      </c>
      <c r="N49">
        <f t="shared" si="2"/>
        <v>720</v>
      </c>
      <c r="O49">
        <f t="shared" si="1"/>
        <v>720</v>
      </c>
    </row>
    <row r="50" spans="1:15" x14ac:dyDescent="0.45">
      <c r="A50" t="s">
        <v>117</v>
      </c>
      <c r="B50">
        <v>11</v>
      </c>
      <c r="C50">
        <v>89</v>
      </c>
      <c r="D50">
        <v>0.33900000000000002</v>
      </c>
      <c r="E50">
        <v>198059</v>
      </c>
      <c r="F50">
        <v>10</v>
      </c>
      <c r="G50">
        <v>0.92400000000000004</v>
      </c>
      <c r="H50">
        <v>0.86799999999999999</v>
      </c>
      <c r="I50">
        <v>4</v>
      </c>
      <c r="J50">
        <v>4.0999999999999996</v>
      </c>
      <c r="K50" t="s">
        <v>134</v>
      </c>
      <c r="L50">
        <v>720</v>
      </c>
      <c r="M50" t="s">
        <v>134</v>
      </c>
      <c r="N50">
        <f t="shared" si="2"/>
        <v>720</v>
      </c>
      <c r="O50">
        <f t="shared" si="1"/>
        <v>720</v>
      </c>
    </row>
    <row r="51" spans="1:15" x14ac:dyDescent="0.45">
      <c r="A51" t="s">
        <v>27</v>
      </c>
      <c r="B51">
        <v>6</v>
      </c>
      <c r="C51">
        <v>93</v>
      </c>
      <c r="D51">
        <v>0.312</v>
      </c>
      <c r="E51">
        <v>200298</v>
      </c>
      <c r="F51">
        <v>7</v>
      </c>
      <c r="G51">
        <v>0.90700000000000003</v>
      </c>
      <c r="H51">
        <v>0.82599999999999996</v>
      </c>
      <c r="I51">
        <v>4.2</v>
      </c>
      <c r="J51">
        <v>4.4000000000000004</v>
      </c>
      <c r="K51">
        <v>3.6</v>
      </c>
      <c r="L51">
        <v>730</v>
      </c>
      <c r="M51" t="s">
        <v>134</v>
      </c>
      <c r="N51">
        <f t="shared" si="2"/>
        <v>730</v>
      </c>
      <c r="O51">
        <f t="shared" si="1"/>
        <v>730</v>
      </c>
    </row>
    <row r="52" spans="1:15" x14ac:dyDescent="0.45">
      <c r="A52" t="s">
        <v>47</v>
      </c>
      <c r="B52">
        <v>5</v>
      </c>
      <c r="C52">
        <v>95</v>
      </c>
      <c r="D52">
        <v>0.14099999999999999</v>
      </c>
      <c r="E52">
        <v>195480</v>
      </c>
      <c r="F52">
        <v>3</v>
      </c>
      <c r="G52">
        <v>0.82399999999999995</v>
      </c>
      <c r="H52">
        <v>0.70099999999999996</v>
      </c>
      <c r="I52">
        <v>4.5999999999999996</v>
      </c>
      <c r="J52">
        <v>4.5999999999999996</v>
      </c>
      <c r="K52">
        <v>3.7</v>
      </c>
      <c r="L52">
        <v>730</v>
      </c>
      <c r="M52" t="s">
        <v>134</v>
      </c>
      <c r="N52">
        <f t="shared" si="2"/>
        <v>730</v>
      </c>
      <c r="O52">
        <f t="shared" si="1"/>
        <v>730</v>
      </c>
    </row>
    <row r="53" spans="1:15" x14ac:dyDescent="0.45">
      <c r="A53" t="s">
        <v>79</v>
      </c>
      <c r="B53">
        <v>11</v>
      </c>
      <c r="C53">
        <v>89</v>
      </c>
      <c r="D53">
        <v>0.253</v>
      </c>
      <c r="E53">
        <v>186677</v>
      </c>
      <c r="F53">
        <v>6</v>
      </c>
      <c r="G53">
        <v>0.86399999999999999</v>
      </c>
      <c r="H53">
        <v>0.69799999999999995</v>
      </c>
      <c r="I53">
        <v>4.5</v>
      </c>
      <c r="J53">
        <v>4.2</v>
      </c>
      <c r="K53">
        <v>3.7</v>
      </c>
      <c r="L53">
        <v>730</v>
      </c>
      <c r="M53" t="s">
        <v>134</v>
      </c>
      <c r="N53">
        <f t="shared" si="2"/>
        <v>730</v>
      </c>
      <c r="O53">
        <f t="shared" si="1"/>
        <v>730</v>
      </c>
    </row>
    <row r="54" spans="1:15" x14ac:dyDescent="0.45">
      <c r="A54" t="s">
        <v>85</v>
      </c>
      <c r="B54">
        <v>4</v>
      </c>
      <c r="C54">
        <v>98</v>
      </c>
      <c r="D54">
        <v>0.28699999999999998</v>
      </c>
      <c r="E54">
        <v>204099</v>
      </c>
      <c r="F54">
        <v>5</v>
      </c>
      <c r="G54">
        <v>0.89200000000000002</v>
      </c>
      <c r="H54">
        <v>0.79700000000000004</v>
      </c>
      <c r="I54">
        <v>4.5999999999999996</v>
      </c>
      <c r="J54">
        <v>4.5999999999999996</v>
      </c>
      <c r="K54">
        <v>3.7</v>
      </c>
      <c r="L54">
        <v>730</v>
      </c>
      <c r="M54" t="s">
        <v>134</v>
      </c>
      <c r="N54">
        <f t="shared" si="2"/>
        <v>730</v>
      </c>
      <c r="O54">
        <f t="shared" si="1"/>
        <v>730</v>
      </c>
    </row>
    <row r="55" spans="1:15" x14ac:dyDescent="0.45">
      <c r="A55" t="s">
        <v>124</v>
      </c>
      <c r="B55">
        <v>10</v>
      </c>
      <c r="C55">
        <v>90</v>
      </c>
      <c r="D55">
        <v>0.27300000000000002</v>
      </c>
      <c r="E55">
        <v>186447</v>
      </c>
      <c r="F55">
        <v>17</v>
      </c>
      <c r="G55">
        <v>0.84899999999999998</v>
      </c>
      <c r="H55">
        <v>0.72199999999999998</v>
      </c>
      <c r="I55">
        <v>4.4000000000000004</v>
      </c>
      <c r="J55">
        <v>4.3</v>
      </c>
      <c r="K55">
        <v>3.6</v>
      </c>
      <c r="L55">
        <v>730</v>
      </c>
      <c r="M55" t="s">
        <v>134</v>
      </c>
      <c r="N55">
        <f t="shared" si="2"/>
        <v>730</v>
      </c>
      <c r="O55">
        <f t="shared" si="1"/>
        <v>730</v>
      </c>
    </row>
    <row r="56" spans="1:15" x14ac:dyDescent="0.45">
      <c r="A56" t="s">
        <v>24</v>
      </c>
      <c r="B56">
        <v>9</v>
      </c>
      <c r="C56">
        <v>91</v>
      </c>
      <c r="D56">
        <v>0.20899999999999999</v>
      </c>
      <c r="E56">
        <v>194287</v>
      </c>
      <c r="F56">
        <v>9</v>
      </c>
      <c r="G56">
        <v>0.83699999999999997</v>
      </c>
      <c r="H56">
        <v>0.67100000000000004</v>
      </c>
      <c r="I56">
        <v>4.4000000000000004</v>
      </c>
      <c r="J56">
        <v>4.2</v>
      </c>
      <c r="K56">
        <v>3.7</v>
      </c>
      <c r="L56">
        <v>740</v>
      </c>
      <c r="M56" t="s">
        <v>134</v>
      </c>
      <c r="N56">
        <f t="shared" si="2"/>
        <v>740</v>
      </c>
      <c r="O56">
        <f t="shared" si="1"/>
        <v>740</v>
      </c>
    </row>
    <row r="57" spans="1:15" x14ac:dyDescent="0.45">
      <c r="A57" t="s">
        <v>37</v>
      </c>
      <c r="B57">
        <v>6</v>
      </c>
      <c r="C57">
        <v>93</v>
      </c>
      <c r="D57">
        <v>0.112</v>
      </c>
      <c r="E57">
        <v>193505</v>
      </c>
      <c r="F57">
        <v>2</v>
      </c>
      <c r="G57">
        <v>0.78400000000000003</v>
      </c>
      <c r="H57">
        <v>0.61299999999999999</v>
      </c>
      <c r="I57">
        <v>4.7</v>
      </c>
      <c r="J57">
        <v>4.5999999999999996</v>
      </c>
      <c r="K57">
        <v>3.7</v>
      </c>
      <c r="L57">
        <v>740</v>
      </c>
      <c r="M57" t="s">
        <v>134</v>
      </c>
      <c r="N57">
        <f t="shared" si="2"/>
        <v>740</v>
      </c>
      <c r="O57">
        <f t="shared" si="1"/>
        <v>740</v>
      </c>
    </row>
    <row r="58" spans="1:15" x14ac:dyDescent="0.45">
      <c r="A58" t="s">
        <v>51</v>
      </c>
      <c r="B58">
        <v>6</v>
      </c>
      <c r="C58">
        <v>93</v>
      </c>
      <c r="D58">
        <v>0.251</v>
      </c>
      <c r="E58">
        <v>200759</v>
      </c>
      <c r="F58">
        <v>11</v>
      </c>
      <c r="G58">
        <v>0.89600000000000002</v>
      </c>
      <c r="H58">
        <v>0.82</v>
      </c>
      <c r="I58">
        <v>4.2</v>
      </c>
      <c r="J58">
        <v>4.2</v>
      </c>
      <c r="K58">
        <v>3.7</v>
      </c>
      <c r="L58">
        <v>740</v>
      </c>
      <c r="M58" t="s">
        <v>134</v>
      </c>
      <c r="N58">
        <f t="shared" si="2"/>
        <v>740</v>
      </c>
      <c r="O58">
        <f t="shared" si="1"/>
        <v>740</v>
      </c>
    </row>
    <row r="59" spans="1:15" x14ac:dyDescent="0.45">
      <c r="A59" t="s">
        <v>54</v>
      </c>
      <c r="B59">
        <v>2</v>
      </c>
      <c r="C59">
        <v>99</v>
      </c>
      <c r="D59">
        <v>0.28599999999999998</v>
      </c>
      <c r="E59">
        <v>199146</v>
      </c>
      <c r="F59">
        <v>7</v>
      </c>
      <c r="G59">
        <v>0.89600000000000002</v>
      </c>
      <c r="H59">
        <v>0.77100000000000002</v>
      </c>
      <c r="I59">
        <v>4.5</v>
      </c>
      <c r="J59">
        <v>4.5999999999999996</v>
      </c>
      <c r="K59">
        <v>3.8</v>
      </c>
      <c r="L59">
        <v>740</v>
      </c>
      <c r="M59" t="s">
        <v>134</v>
      </c>
      <c r="N59">
        <f t="shared" si="2"/>
        <v>740</v>
      </c>
      <c r="O59">
        <f t="shared" si="1"/>
        <v>740</v>
      </c>
    </row>
    <row r="60" spans="1:15" x14ac:dyDescent="0.45">
      <c r="A60" t="s">
        <v>66</v>
      </c>
      <c r="B60">
        <v>2</v>
      </c>
      <c r="C60">
        <v>99</v>
      </c>
      <c r="D60">
        <v>6.8000000000000005E-2</v>
      </c>
      <c r="E60">
        <v>206955</v>
      </c>
      <c r="F60">
        <v>1</v>
      </c>
      <c r="G60">
        <v>0.80600000000000005</v>
      </c>
      <c r="H60">
        <v>0.59199999999999997</v>
      </c>
      <c r="I60">
        <v>4.7</v>
      </c>
      <c r="J60">
        <v>4.5999999999999996</v>
      </c>
      <c r="K60">
        <v>3.8</v>
      </c>
      <c r="L60">
        <v>740</v>
      </c>
      <c r="M60" t="s">
        <v>134</v>
      </c>
      <c r="N60">
        <f t="shared" si="2"/>
        <v>740</v>
      </c>
      <c r="O60">
        <f t="shared" si="1"/>
        <v>740</v>
      </c>
    </row>
    <row r="61" spans="1:15" x14ac:dyDescent="0.45">
      <c r="A61" t="s">
        <v>106</v>
      </c>
      <c r="B61">
        <v>1</v>
      </c>
      <c r="C61">
        <v>100</v>
      </c>
      <c r="D61">
        <v>0.20499999999999999</v>
      </c>
      <c r="E61">
        <v>200724</v>
      </c>
      <c r="F61">
        <v>3</v>
      </c>
      <c r="G61">
        <v>0.90400000000000003</v>
      </c>
      <c r="H61">
        <v>0.77800000000000002</v>
      </c>
      <c r="I61">
        <v>4.7</v>
      </c>
      <c r="J61">
        <v>4.5999999999999996</v>
      </c>
      <c r="K61">
        <v>3.7</v>
      </c>
      <c r="L61">
        <v>740</v>
      </c>
      <c r="M61" t="s">
        <v>134</v>
      </c>
      <c r="N61">
        <f t="shared" si="2"/>
        <v>740</v>
      </c>
      <c r="O61">
        <f t="shared" si="1"/>
        <v>740</v>
      </c>
    </row>
    <row r="62" spans="1:15" x14ac:dyDescent="0.45">
      <c r="A62" t="s">
        <v>3</v>
      </c>
      <c r="B62">
        <v>58</v>
      </c>
      <c r="C62">
        <v>52</v>
      </c>
      <c r="D62">
        <v>0.159</v>
      </c>
      <c r="E62">
        <v>125381</v>
      </c>
      <c r="F62">
        <v>36</v>
      </c>
      <c r="G62">
        <v>0.85199999999999998</v>
      </c>
      <c r="H62">
        <v>0.55600000000000005</v>
      </c>
      <c r="I62">
        <v>2.9</v>
      </c>
      <c r="J62">
        <v>3</v>
      </c>
      <c r="K62">
        <v>3.4</v>
      </c>
      <c r="L62" t="s">
        <v>134</v>
      </c>
      <c r="M62" t="s">
        <v>134</v>
      </c>
      <c r="N62">
        <v>475</v>
      </c>
      <c r="O62" t="s">
        <v>146</v>
      </c>
    </row>
    <row r="63" spans="1:15" x14ac:dyDescent="0.45">
      <c r="A63" t="s">
        <v>7</v>
      </c>
      <c r="B63">
        <v>54</v>
      </c>
      <c r="C63">
        <v>53</v>
      </c>
      <c r="D63">
        <v>0.24399999999999999</v>
      </c>
      <c r="E63">
        <v>94369</v>
      </c>
      <c r="F63">
        <v>67</v>
      </c>
      <c r="G63">
        <v>0.94499999999999995</v>
      </c>
      <c r="H63">
        <v>0.72499999999999998</v>
      </c>
      <c r="I63">
        <v>3</v>
      </c>
      <c r="J63">
        <v>3.1</v>
      </c>
      <c r="K63">
        <v>3.6</v>
      </c>
      <c r="L63" t="s">
        <v>134</v>
      </c>
      <c r="M63" t="s">
        <v>134</v>
      </c>
      <c r="N63">
        <v>475</v>
      </c>
      <c r="O63" t="s">
        <v>146</v>
      </c>
    </row>
    <row r="64" spans="1:15" x14ac:dyDescent="0.45">
      <c r="A64" t="s">
        <v>9</v>
      </c>
      <c r="B64">
        <v>87</v>
      </c>
      <c r="C64">
        <v>36</v>
      </c>
      <c r="D64">
        <v>0.66900000000000004</v>
      </c>
      <c r="E64">
        <v>85085</v>
      </c>
      <c r="F64">
        <v>93</v>
      </c>
      <c r="G64">
        <v>0.877</v>
      </c>
      <c r="H64">
        <v>0.53800000000000003</v>
      </c>
      <c r="I64">
        <v>2.7</v>
      </c>
      <c r="J64">
        <v>3.4</v>
      </c>
      <c r="K64">
        <v>3.5</v>
      </c>
      <c r="L64" t="s">
        <v>134</v>
      </c>
      <c r="M64" t="s">
        <v>134</v>
      </c>
      <c r="N64">
        <v>475</v>
      </c>
      <c r="O64" t="s">
        <v>146</v>
      </c>
    </row>
    <row r="65" spans="1:15" x14ac:dyDescent="0.45">
      <c r="A65" t="s">
        <v>12</v>
      </c>
      <c r="B65">
        <v>100</v>
      </c>
      <c r="C65">
        <v>30</v>
      </c>
      <c r="D65">
        <v>0.68700000000000006</v>
      </c>
      <c r="E65">
        <v>91797</v>
      </c>
      <c r="F65">
        <v>78</v>
      </c>
      <c r="G65">
        <v>0.77100000000000002</v>
      </c>
      <c r="H65">
        <v>0.54300000000000004</v>
      </c>
      <c r="I65">
        <v>2.6</v>
      </c>
      <c r="J65">
        <v>3</v>
      </c>
      <c r="K65">
        <v>3.5</v>
      </c>
      <c r="L65" t="s">
        <v>134</v>
      </c>
      <c r="M65" t="s">
        <v>134</v>
      </c>
      <c r="N65">
        <v>475</v>
      </c>
      <c r="O65" t="s">
        <v>146</v>
      </c>
    </row>
    <row r="66" spans="1:15" x14ac:dyDescent="0.45">
      <c r="A66" t="s">
        <v>136</v>
      </c>
      <c r="B66">
        <v>110</v>
      </c>
      <c r="C66">
        <v>25</v>
      </c>
      <c r="D66">
        <v>0.36799999999999999</v>
      </c>
      <c r="E66">
        <v>88864</v>
      </c>
      <c r="F66">
        <v>88</v>
      </c>
      <c r="G66">
        <v>0.95699999999999996</v>
      </c>
      <c r="H66">
        <v>0.496</v>
      </c>
      <c r="I66">
        <v>2.2999999999999998</v>
      </c>
      <c r="J66">
        <v>1.9</v>
      </c>
      <c r="K66">
        <v>3.3</v>
      </c>
      <c r="L66" t="s">
        <v>134</v>
      </c>
      <c r="M66" t="s">
        <v>134</v>
      </c>
      <c r="N66">
        <v>475</v>
      </c>
      <c r="O66" t="s">
        <v>146</v>
      </c>
    </row>
    <row r="67" spans="1:15" x14ac:dyDescent="0.45">
      <c r="A67" t="s">
        <v>14</v>
      </c>
      <c r="B67">
        <v>92</v>
      </c>
      <c r="C67">
        <v>34</v>
      </c>
      <c r="D67">
        <v>0.50900000000000001</v>
      </c>
      <c r="E67">
        <v>63854</v>
      </c>
      <c r="F67">
        <v>117</v>
      </c>
      <c r="G67">
        <v>0.90400000000000003</v>
      </c>
      <c r="H67">
        <v>0.76900000000000002</v>
      </c>
      <c r="I67">
        <v>2.2000000000000002</v>
      </c>
      <c r="J67">
        <v>3.7</v>
      </c>
      <c r="K67">
        <v>3.4</v>
      </c>
      <c r="L67" t="s">
        <v>134</v>
      </c>
      <c r="M67" t="s">
        <v>134</v>
      </c>
      <c r="N67">
        <v>475</v>
      </c>
      <c r="O67" t="s">
        <v>146</v>
      </c>
    </row>
    <row r="68" spans="1:15" x14ac:dyDescent="0.45">
      <c r="A68" t="s">
        <v>137</v>
      </c>
      <c r="B68">
        <v>82</v>
      </c>
      <c r="C68">
        <v>39</v>
      </c>
      <c r="D68">
        <v>0.495</v>
      </c>
      <c r="E68">
        <v>95342</v>
      </c>
      <c r="F68">
        <v>77</v>
      </c>
      <c r="G68">
        <v>0.71199999999999997</v>
      </c>
      <c r="H68">
        <v>0.441</v>
      </c>
      <c r="I68">
        <v>3.1</v>
      </c>
      <c r="J68">
        <v>3.5</v>
      </c>
      <c r="K68">
        <v>3.3</v>
      </c>
      <c r="L68" t="s">
        <v>134</v>
      </c>
      <c r="M68" t="s">
        <v>134</v>
      </c>
      <c r="N68">
        <v>475</v>
      </c>
      <c r="O68" t="s">
        <v>146</v>
      </c>
    </row>
    <row r="69" spans="1:15" x14ac:dyDescent="0.45">
      <c r="A69" t="s">
        <v>16</v>
      </c>
      <c r="B69">
        <v>66</v>
      </c>
      <c r="C69">
        <v>48</v>
      </c>
      <c r="D69">
        <v>0.47</v>
      </c>
      <c r="E69">
        <v>95387</v>
      </c>
      <c r="F69">
        <v>81</v>
      </c>
      <c r="G69">
        <v>0.94399999999999995</v>
      </c>
      <c r="H69">
        <v>0.66700000000000004</v>
      </c>
      <c r="I69">
        <v>2.5</v>
      </c>
      <c r="J69">
        <v>3.9</v>
      </c>
      <c r="K69">
        <v>3.4</v>
      </c>
      <c r="L69" t="s">
        <v>134</v>
      </c>
      <c r="M69" t="s">
        <v>134</v>
      </c>
      <c r="N69">
        <v>475</v>
      </c>
      <c r="O69" t="s">
        <v>146</v>
      </c>
    </row>
    <row r="70" spans="1:15" x14ac:dyDescent="0.45">
      <c r="A70" t="s">
        <v>17</v>
      </c>
      <c r="B70">
        <v>97</v>
      </c>
      <c r="C70">
        <v>31</v>
      </c>
      <c r="D70">
        <v>0.97</v>
      </c>
      <c r="E70">
        <v>88660</v>
      </c>
      <c r="F70">
        <v>81</v>
      </c>
      <c r="G70">
        <v>0.77100000000000002</v>
      </c>
      <c r="H70">
        <v>0.625</v>
      </c>
      <c r="I70">
        <v>2.9</v>
      </c>
      <c r="J70">
        <v>3.2</v>
      </c>
      <c r="K70">
        <v>3.4</v>
      </c>
      <c r="L70" t="s">
        <v>134</v>
      </c>
      <c r="M70" t="s">
        <v>134</v>
      </c>
      <c r="N70">
        <v>475</v>
      </c>
      <c r="O70" t="s">
        <v>146</v>
      </c>
    </row>
    <row r="71" spans="1:15" x14ac:dyDescent="0.45">
      <c r="A71" t="s">
        <v>18</v>
      </c>
      <c r="B71">
        <v>96</v>
      </c>
      <c r="C71">
        <v>32</v>
      </c>
      <c r="D71">
        <v>0.56200000000000006</v>
      </c>
      <c r="E71">
        <v>96892</v>
      </c>
      <c r="F71">
        <v>67</v>
      </c>
      <c r="G71">
        <v>0.88900000000000001</v>
      </c>
      <c r="H71">
        <v>0.86699999999999999</v>
      </c>
      <c r="I71">
        <v>2</v>
      </c>
      <c r="J71">
        <v>2.6</v>
      </c>
      <c r="K71">
        <v>3.3</v>
      </c>
      <c r="L71" t="s">
        <v>134</v>
      </c>
      <c r="M71" t="s">
        <v>134</v>
      </c>
      <c r="N71">
        <v>475</v>
      </c>
      <c r="O71" t="s">
        <v>146</v>
      </c>
    </row>
    <row r="72" spans="1:15" x14ac:dyDescent="0.45">
      <c r="A72" t="s">
        <v>20</v>
      </c>
      <c r="B72">
        <v>100</v>
      </c>
      <c r="C72">
        <v>30</v>
      </c>
      <c r="D72">
        <v>0.78</v>
      </c>
      <c r="E72">
        <v>101045</v>
      </c>
      <c r="F72">
        <v>28</v>
      </c>
      <c r="G72">
        <v>0.97699999999999998</v>
      </c>
      <c r="H72">
        <v>0.83699999999999997</v>
      </c>
      <c r="I72">
        <v>2.2000000000000002</v>
      </c>
      <c r="J72">
        <v>1.9</v>
      </c>
      <c r="K72">
        <v>3</v>
      </c>
      <c r="L72" t="s">
        <v>134</v>
      </c>
      <c r="M72" t="s">
        <v>134</v>
      </c>
      <c r="N72">
        <v>475</v>
      </c>
      <c r="O72" t="s">
        <v>146</v>
      </c>
    </row>
    <row r="73" spans="1:15" x14ac:dyDescent="0.45">
      <c r="A73" t="s">
        <v>21</v>
      </c>
      <c r="B73">
        <v>95</v>
      </c>
      <c r="C73">
        <v>33</v>
      </c>
      <c r="D73">
        <v>0.14000000000000001</v>
      </c>
      <c r="E73">
        <v>70252</v>
      </c>
      <c r="F73">
        <v>112</v>
      </c>
      <c r="G73">
        <v>0.91900000000000004</v>
      </c>
      <c r="H73">
        <v>0.45900000000000002</v>
      </c>
      <c r="I73">
        <v>2.9</v>
      </c>
      <c r="J73">
        <v>3</v>
      </c>
      <c r="K73">
        <v>3.5</v>
      </c>
      <c r="L73" t="s">
        <v>134</v>
      </c>
      <c r="M73" t="s">
        <v>134</v>
      </c>
      <c r="N73">
        <v>475</v>
      </c>
      <c r="O73" t="s">
        <v>146</v>
      </c>
    </row>
    <row r="74" spans="1:15" x14ac:dyDescent="0.45">
      <c r="A74" t="s">
        <v>22</v>
      </c>
      <c r="B74">
        <v>88</v>
      </c>
      <c r="C74">
        <v>35</v>
      </c>
      <c r="D74">
        <v>0.42899999999999999</v>
      </c>
      <c r="E74">
        <v>72008</v>
      </c>
      <c r="F74">
        <v>101</v>
      </c>
      <c r="G74">
        <v>0.94899999999999995</v>
      </c>
      <c r="H74">
        <v>0.65800000000000003</v>
      </c>
      <c r="I74">
        <v>2.2000000000000002</v>
      </c>
      <c r="J74">
        <v>3.1</v>
      </c>
      <c r="K74">
        <v>3.6</v>
      </c>
      <c r="L74" t="s">
        <v>134</v>
      </c>
      <c r="M74" t="s">
        <v>134</v>
      </c>
      <c r="N74">
        <v>475</v>
      </c>
      <c r="O74" t="s">
        <v>146</v>
      </c>
    </row>
    <row r="75" spans="1:15" x14ac:dyDescent="0.45">
      <c r="A75" t="s">
        <v>26</v>
      </c>
      <c r="B75">
        <v>61</v>
      </c>
      <c r="C75">
        <v>51</v>
      </c>
      <c r="D75">
        <v>0.374</v>
      </c>
      <c r="E75">
        <v>121733</v>
      </c>
      <c r="F75">
        <v>58</v>
      </c>
      <c r="G75">
        <v>0.81</v>
      </c>
      <c r="H75">
        <v>0.72399999999999998</v>
      </c>
      <c r="I75">
        <v>2.9</v>
      </c>
      <c r="J75">
        <v>3.6</v>
      </c>
      <c r="K75">
        <v>3.4</v>
      </c>
      <c r="L75" t="s">
        <v>134</v>
      </c>
      <c r="M75" t="s">
        <v>134</v>
      </c>
      <c r="N75">
        <v>475</v>
      </c>
      <c r="O75" t="s">
        <v>146</v>
      </c>
    </row>
    <row r="76" spans="1:15" x14ac:dyDescent="0.45">
      <c r="A76" t="s">
        <v>28</v>
      </c>
      <c r="B76">
        <v>110</v>
      </c>
      <c r="C76">
        <v>25</v>
      </c>
      <c r="D76">
        <v>0.67800000000000005</v>
      </c>
      <c r="E76">
        <v>70916</v>
      </c>
      <c r="F76">
        <v>106</v>
      </c>
      <c r="G76">
        <v>0.72599999999999998</v>
      </c>
      <c r="H76">
        <v>0.49299999999999999</v>
      </c>
      <c r="I76">
        <v>2.7</v>
      </c>
      <c r="J76">
        <v>3.3</v>
      </c>
      <c r="K76">
        <v>3.5</v>
      </c>
      <c r="L76" t="s">
        <v>134</v>
      </c>
      <c r="M76" t="s">
        <v>134</v>
      </c>
      <c r="N76">
        <v>475</v>
      </c>
      <c r="O76" t="s">
        <v>146</v>
      </c>
    </row>
    <row r="77" spans="1:15" x14ac:dyDescent="0.45">
      <c r="A77" t="s">
        <v>30</v>
      </c>
      <c r="B77">
        <v>107</v>
      </c>
      <c r="C77">
        <v>27</v>
      </c>
      <c r="D77">
        <v>0.90900000000000003</v>
      </c>
      <c r="E77">
        <v>63460</v>
      </c>
      <c r="F77">
        <v>110</v>
      </c>
      <c r="G77">
        <v>0.875</v>
      </c>
      <c r="H77">
        <v>0.41699999999999998</v>
      </c>
      <c r="I77">
        <v>2.4</v>
      </c>
      <c r="J77">
        <v>2.9</v>
      </c>
      <c r="K77">
        <v>3.7</v>
      </c>
      <c r="L77" t="s">
        <v>134</v>
      </c>
      <c r="M77" t="s">
        <v>134</v>
      </c>
      <c r="N77">
        <v>475</v>
      </c>
      <c r="O77" t="s">
        <v>146</v>
      </c>
    </row>
    <row r="78" spans="1:15" x14ac:dyDescent="0.45">
      <c r="A78" t="s">
        <v>32</v>
      </c>
      <c r="B78">
        <v>105</v>
      </c>
      <c r="C78">
        <v>28</v>
      </c>
      <c r="D78">
        <v>0.34799999999999998</v>
      </c>
      <c r="E78">
        <v>64972</v>
      </c>
      <c r="F78">
        <v>122</v>
      </c>
      <c r="G78">
        <v>0.66400000000000003</v>
      </c>
      <c r="H78">
        <v>0.52300000000000002</v>
      </c>
      <c r="I78">
        <v>3</v>
      </c>
      <c r="J78">
        <v>3.2</v>
      </c>
      <c r="K78">
        <v>3.7</v>
      </c>
      <c r="L78" t="s">
        <v>134</v>
      </c>
      <c r="M78" t="s">
        <v>134</v>
      </c>
      <c r="N78">
        <v>475</v>
      </c>
      <c r="O78" t="s">
        <v>146</v>
      </c>
    </row>
    <row r="79" spans="1:15" x14ac:dyDescent="0.45">
      <c r="A79" t="s">
        <v>40</v>
      </c>
      <c r="B79">
        <v>113</v>
      </c>
      <c r="C79">
        <v>24</v>
      </c>
      <c r="D79">
        <v>0.59299999999999997</v>
      </c>
      <c r="E79">
        <v>65505</v>
      </c>
      <c r="F79">
        <v>119</v>
      </c>
      <c r="G79">
        <v>0.73099999999999998</v>
      </c>
      <c r="H79">
        <v>0.40400000000000003</v>
      </c>
      <c r="I79">
        <v>2.5</v>
      </c>
      <c r="J79">
        <v>3.2</v>
      </c>
      <c r="K79">
        <v>3.6</v>
      </c>
      <c r="L79" t="s">
        <v>134</v>
      </c>
      <c r="M79" t="s">
        <v>134</v>
      </c>
      <c r="N79">
        <v>475</v>
      </c>
      <c r="O79" t="s">
        <v>146</v>
      </c>
    </row>
    <row r="80" spans="1:15" x14ac:dyDescent="0.45">
      <c r="A80" t="s">
        <v>41</v>
      </c>
      <c r="B80">
        <v>100</v>
      </c>
      <c r="C80">
        <v>30</v>
      </c>
      <c r="D80">
        <v>0.94</v>
      </c>
      <c r="E80">
        <v>58823</v>
      </c>
      <c r="F80">
        <v>119</v>
      </c>
      <c r="G80">
        <v>0.97499999999999998</v>
      </c>
      <c r="H80">
        <v>0.77500000000000002</v>
      </c>
      <c r="I80">
        <v>2.1</v>
      </c>
      <c r="J80">
        <v>3.3</v>
      </c>
      <c r="K80">
        <v>3.4</v>
      </c>
      <c r="L80" t="s">
        <v>134</v>
      </c>
      <c r="M80" t="s">
        <v>134</v>
      </c>
      <c r="N80">
        <v>475</v>
      </c>
      <c r="O80" t="s">
        <v>146</v>
      </c>
    </row>
    <row r="81" spans="1:15" x14ac:dyDescent="0.45">
      <c r="A81" t="s">
        <v>42</v>
      </c>
      <c r="B81">
        <v>86</v>
      </c>
      <c r="C81">
        <v>37</v>
      </c>
      <c r="D81">
        <v>0.42199999999999999</v>
      </c>
      <c r="E81">
        <v>119320</v>
      </c>
      <c r="F81">
        <v>81</v>
      </c>
      <c r="G81">
        <v>0.85199999999999998</v>
      </c>
      <c r="H81">
        <v>0.51900000000000002</v>
      </c>
      <c r="I81">
        <v>2.7</v>
      </c>
      <c r="J81">
        <v>3.5</v>
      </c>
      <c r="K81">
        <v>3.3</v>
      </c>
      <c r="L81" t="s">
        <v>134</v>
      </c>
      <c r="M81" t="s">
        <v>134</v>
      </c>
      <c r="N81">
        <v>475</v>
      </c>
      <c r="O81" t="s">
        <v>146</v>
      </c>
    </row>
    <row r="82" spans="1:15" x14ac:dyDescent="0.45">
      <c r="A82" t="s">
        <v>44</v>
      </c>
      <c r="B82">
        <v>85</v>
      </c>
      <c r="C82">
        <v>38</v>
      </c>
      <c r="D82">
        <v>0.62</v>
      </c>
      <c r="E82">
        <v>72903</v>
      </c>
      <c r="F82">
        <v>104</v>
      </c>
      <c r="G82">
        <v>0.872</v>
      </c>
      <c r="H82">
        <v>0.66</v>
      </c>
      <c r="I82">
        <v>2.8</v>
      </c>
      <c r="J82">
        <v>3.1</v>
      </c>
      <c r="K82">
        <v>3.6</v>
      </c>
      <c r="L82" t="s">
        <v>134</v>
      </c>
      <c r="M82" t="s">
        <v>134</v>
      </c>
      <c r="N82">
        <v>475</v>
      </c>
      <c r="O82" t="s">
        <v>146</v>
      </c>
    </row>
    <row r="83" spans="1:15" x14ac:dyDescent="0.45">
      <c r="A83" t="s">
        <v>45</v>
      </c>
      <c r="B83">
        <v>92</v>
      </c>
      <c r="C83">
        <v>34</v>
      </c>
      <c r="D83">
        <v>0.871</v>
      </c>
      <c r="E83">
        <v>61208</v>
      </c>
      <c r="F83">
        <v>125</v>
      </c>
      <c r="G83">
        <v>0.82799999999999996</v>
      </c>
      <c r="H83">
        <v>0.621</v>
      </c>
      <c r="I83">
        <v>2.2000000000000002</v>
      </c>
      <c r="J83">
        <v>4.3</v>
      </c>
      <c r="K83">
        <v>3.6</v>
      </c>
      <c r="L83" t="s">
        <v>134</v>
      </c>
      <c r="M83" t="s">
        <v>134</v>
      </c>
      <c r="N83">
        <v>475</v>
      </c>
      <c r="O83" t="s">
        <v>146</v>
      </c>
    </row>
    <row r="84" spans="1:15" x14ac:dyDescent="0.45">
      <c r="A84" t="s">
        <v>46</v>
      </c>
      <c r="B84">
        <v>82</v>
      </c>
      <c r="C84">
        <v>39</v>
      </c>
      <c r="D84">
        <v>0.66700000000000004</v>
      </c>
      <c r="E84">
        <v>74956</v>
      </c>
      <c r="F84">
        <v>97</v>
      </c>
      <c r="G84">
        <v>0.97699999999999998</v>
      </c>
      <c r="H84">
        <v>0.83699999999999997</v>
      </c>
      <c r="I84">
        <v>2.9</v>
      </c>
      <c r="J84">
        <v>3.1</v>
      </c>
      <c r="K84">
        <v>3.4</v>
      </c>
      <c r="L84" t="s">
        <v>134</v>
      </c>
      <c r="M84" t="s">
        <v>134</v>
      </c>
      <c r="N84">
        <v>475</v>
      </c>
      <c r="O84" t="s">
        <v>146</v>
      </c>
    </row>
    <row r="85" spans="1:15" x14ac:dyDescent="0.45">
      <c r="A85" t="s">
        <v>138</v>
      </c>
      <c r="B85">
        <v>115</v>
      </c>
      <c r="C85">
        <v>23</v>
      </c>
      <c r="D85">
        <v>0.35099999999999998</v>
      </c>
      <c r="E85">
        <v>88473</v>
      </c>
      <c r="F85">
        <v>67</v>
      </c>
      <c r="G85">
        <v>0.78</v>
      </c>
      <c r="H85">
        <v>0</v>
      </c>
      <c r="I85">
        <v>2.4</v>
      </c>
      <c r="J85">
        <v>2.2999999999999998</v>
      </c>
      <c r="K85">
        <v>3.5</v>
      </c>
      <c r="L85" t="s">
        <v>134</v>
      </c>
      <c r="M85" t="s">
        <v>134</v>
      </c>
      <c r="N85">
        <v>475</v>
      </c>
      <c r="O85" t="s">
        <v>146</v>
      </c>
    </row>
    <row r="86" spans="1:15" x14ac:dyDescent="0.45">
      <c r="A86" t="s">
        <v>52</v>
      </c>
      <c r="B86">
        <v>77</v>
      </c>
      <c r="C86">
        <v>41</v>
      </c>
      <c r="D86">
        <v>0.94299999999999995</v>
      </c>
      <c r="E86">
        <v>101019</v>
      </c>
      <c r="F86">
        <v>52</v>
      </c>
      <c r="G86">
        <v>0.92</v>
      </c>
      <c r="H86">
        <v>0.86</v>
      </c>
      <c r="I86">
        <v>2</v>
      </c>
      <c r="J86">
        <v>3.1</v>
      </c>
      <c r="K86">
        <v>3.5</v>
      </c>
      <c r="L86" t="s">
        <v>134</v>
      </c>
      <c r="M86" t="s">
        <v>134</v>
      </c>
      <c r="N86">
        <v>475</v>
      </c>
      <c r="O86" t="s">
        <v>146</v>
      </c>
    </row>
    <row r="87" spans="1:15" x14ac:dyDescent="0.45">
      <c r="A87" t="s">
        <v>53</v>
      </c>
      <c r="B87">
        <v>68</v>
      </c>
      <c r="C87">
        <v>47</v>
      </c>
      <c r="D87">
        <v>0.374</v>
      </c>
      <c r="E87">
        <v>101520</v>
      </c>
      <c r="F87">
        <v>63</v>
      </c>
      <c r="G87">
        <v>0.76100000000000001</v>
      </c>
      <c r="H87">
        <v>0.48599999999999999</v>
      </c>
      <c r="I87">
        <v>3</v>
      </c>
      <c r="J87">
        <v>3.1</v>
      </c>
      <c r="K87">
        <v>3.5</v>
      </c>
      <c r="L87" t="s">
        <v>134</v>
      </c>
      <c r="M87" t="s">
        <v>134</v>
      </c>
      <c r="N87">
        <v>475</v>
      </c>
      <c r="O87" t="s">
        <v>146</v>
      </c>
    </row>
    <row r="88" spans="1:15" x14ac:dyDescent="0.45">
      <c r="A88" t="s">
        <v>139</v>
      </c>
      <c r="B88">
        <v>120</v>
      </c>
      <c r="C88">
        <v>21</v>
      </c>
      <c r="D88">
        <v>0.53500000000000003</v>
      </c>
      <c r="E88">
        <v>82521</v>
      </c>
      <c r="F88">
        <v>90</v>
      </c>
      <c r="G88">
        <v>0.76600000000000001</v>
      </c>
      <c r="H88">
        <v>0.42199999999999999</v>
      </c>
      <c r="I88">
        <v>2.4</v>
      </c>
      <c r="J88">
        <v>2.5</v>
      </c>
      <c r="K88">
        <v>3.4</v>
      </c>
      <c r="L88" t="s">
        <v>134</v>
      </c>
      <c r="M88" t="s">
        <v>134</v>
      </c>
      <c r="N88">
        <v>475</v>
      </c>
      <c r="O88" t="s">
        <v>146</v>
      </c>
    </row>
    <row r="89" spans="1:15" x14ac:dyDescent="0.45">
      <c r="A89" t="s">
        <v>57</v>
      </c>
      <c r="B89">
        <v>88</v>
      </c>
      <c r="C89">
        <v>35</v>
      </c>
      <c r="D89">
        <v>0.63500000000000001</v>
      </c>
      <c r="E89">
        <v>105798</v>
      </c>
      <c r="F89">
        <v>78</v>
      </c>
      <c r="G89">
        <v>0.73</v>
      </c>
      <c r="H89">
        <v>0.54100000000000004</v>
      </c>
      <c r="I89">
        <v>3</v>
      </c>
      <c r="J89">
        <v>3.3</v>
      </c>
      <c r="K89">
        <v>3.2</v>
      </c>
      <c r="L89" t="s">
        <v>134</v>
      </c>
      <c r="M89" t="s">
        <v>134</v>
      </c>
      <c r="N89">
        <v>475</v>
      </c>
      <c r="O89" t="s">
        <v>146</v>
      </c>
    </row>
    <row r="90" spans="1:15" x14ac:dyDescent="0.45">
      <c r="A90" t="s">
        <v>58</v>
      </c>
      <c r="B90">
        <v>118</v>
      </c>
      <c r="C90">
        <v>22</v>
      </c>
      <c r="D90">
        <v>0.75</v>
      </c>
      <c r="E90">
        <v>84439</v>
      </c>
      <c r="F90">
        <v>85</v>
      </c>
      <c r="G90">
        <v>0.84599999999999997</v>
      </c>
      <c r="H90">
        <v>0.64100000000000001</v>
      </c>
      <c r="I90">
        <v>2.2999999999999998</v>
      </c>
      <c r="J90">
        <v>1.9</v>
      </c>
      <c r="K90">
        <v>3.4</v>
      </c>
      <c r="L90" t="s">
        <v>134</v>
      </c>
      <c r="M90" t="s">
        <v>134</v>
      </c>
      <c r="N90">
        <v>475</v>
      </c>
      <c r="O90" t="s">
        <v>146</v>
      </c>
    </row>
    <row r="91" spans="1:15" x14ac:dyDescent="0.45">
      <c r="A91" t="s">
        <v>59</v>
      </c>
      <c r="B91">
        <v>108</v>
      </c>
      <c r="C91">
        <v>26</v>
      </c>
      <c r="D91">
        <v>0.96399999999999997</v>
      </c>
      <c r="E91">
        <v>74307</v>
      </c>
      <c r="F91">
        <v>90</v>
      </c>
      <c r="G91">
        <v>0.78200000000000003</v>
      </c>
      <c r="H91">
        <v>0.44800000000000001</v>
      </c>
      <c r="I91">
        <v>2.5</v>
      </c>
      <c r="J91">
        <v>2.7</v>
      </c>
      <c r="K91">
        <v>3.6</v>
      </c>
      <c r="L91" t="s">
        <v>134</v>
      </c>
      <c r="M91" t="s">
        <v>134</v>
      </c>
      <c r="N91">
        <v>475</v>
      </c>
      <c r="O91" t="s">
        <v>146</v>
      </c>
    </row>
    <row r="92" spans="1:15" x14ac:dyDescent="0.45">
      <c r="A92" t="s">
        <v>62</v>
      </c>
      <c r="B92">
        <v>100</v>
      </c>
      <c r="C92">
        <v>30</v>
      </c>
      <c r="D92">
        <v>0.69</v>
      </c>
      <c r="E92">
        <v>75861</v>
      </c>
      <c r="F92">
        <v>97</v>
      </c>
      <c r="G92">
        <v>0.73899999999999999</v>
      </c>
      <c r="H92">
        <v>0.435</v>
      </c>
      <c r="I92">
        <v>2.8</v>
      </c>
      <c r="J92">
        <v>3.4</v>
      </c>
      <c r="K92">
        <v>3.6</v>
      </c>
      <c r="L92" t="s">
        <v>134</v>
      </c>
      <c r="M92" t="s">
        <v>134</v>
      </c>
      <c r="N92">
        <v>475</v>
      </c>
      <c r="O92" t="s">
        <v>146</v>
      </c>
    </row>
    <row r="93" spans="1:15" x14ac:dyDescent="0.45">
      <c r="A93" t="s">
        <v>65</v>
      </c>
      <c r="B93">
        <v>118</v>
      </c>
      <c r="C93">
        <v>22</v>
      </c>
      <c r="D93">
        <v>0.35</v>
      </c>
      <c r="E93">
        <v>79144</v>
      </c>
      <c r="F93">
        <v>133</v>
      </c>
      <c r="G93">
        <v>0.64400000000000002</v>
      </c>
      <c r="H93">
        <v>0.46700000000000003</v>
      </c>
      <c r="I93">
        <v>2.9</v>
      </c>
      <c r="J93">
        <v>3.9</v>
      </c>
      <c r="K93">
        <v>3.6</v>
      </c>
      <c r="L93" t="s">
        <v>134</v>
      </c>
      <c r="M93" t="s">
        <v>134</v>
      </c>
      <c r="N93">
        <v>475</v>
      </c>
      <c r="O93" t="s">
        <v>146</v>
      </c>
    </row>
    <row r="94" spans="1:15" x14ac:dyDescent="0.45">
      <c r="A94" t="s">
        <v>67</v>
      </c>
      <c r="B94">
        <v>68</v>
      </c>
      <c r="C94">
        <v>47</v>
      </c>
      <c r="D94">
        <v>0.33700000000000002</v>
      </c>
      <c r="E94">
        <v>84716</v>
      </c>
      <c r="F94">
        <v>97</v>
      </c>
      <c r="G94">
        <v>0.83199999999999996</v>
      </c>
      <c r="H94">
        <v>0.32100000000000001</v>
      </c>
      <c r="I94">
        <v>2.6</v>
      </c>
      <c r="J94">
        <v>4.5</v>
      </c>
      <c r="K94">
        <v>3.6</v>
      </c>
      <c r="L94" t="s">
        <v>134</v>
      </c>
      <c r="M94" t="s">
        <v>134</v>
      </c>
      <c r="N94">
        <v>475</v>
      </c>
      <c r="O94" t="s">
        <v>146</v>
      </c>
    </row>
    <row r="95" spans="1:15" x14ac:dyDescent="0.45">
      <c r="A95" t="s">
        <v>140</v>
      </c>
      <c r="B95">
        <v>115</v>
      </c>
      <c r="C95">
        <v>23</v>
      </c>
      <c r="D95">
        <v>0.77300000000000002</v>
      </c>
      <c r="E95">
        <v>92500</v>
      </c>
      <c r="F95">
        <v>71</v>
      </c>
      <c r="G95">
        <v>0.77400000000000002</v>
      </c>
      <c r="H95">
        <v>0.54700000000000004</v>
      </c>
      <c r="I95">
        <v>2.2999999999999998</v>
      </c>
      <c r="J95">
        <v>2.2999999999999998</v>
      </c>
      <c r="K95">
        <v>3.4</v>
      </c>
      <c r="L95" t="s">
        <v>134</v>
      </c>
      <c r="M95" t="s">
        <v>134</v>
      </c>
      <c r="N95">
        <v>475</v>
      </c>
      <c r="O95" t="s">
        <v>146</v>
      </c>
    </row>
    <row r="96" spans="1:15" x14ac:dyDescent="0.45">
      <c r="A96" t="s">
        <v>69</v>
      </c>
      <c r="B96">
        <v>54</v>
      </c>
      <c r="C96">
        <v>53</v>
      </c>
      <c r="D96">
        <v>0.72599999999999998</v>
      </c>
      <c r="E96">
        <v>107895</v>
      </c>
      <c r="F96">
        <v>95</v>
      </c>
      <c r="G96">
        <v>0.84799999999999998</v>
      </c>
      <c r="H96">
        <v>0.69699999999999995</v>
      </c>
      <c r="I96">
        <v>3</v>
      </c>
      <c r="J96">
        <v>3.2</v>
      </c>
      <c r="K96">
        <v>3.6</v>
      </c>
      <c r="L96" t="s">
        <v>134</v>
      </c>
      <c r="M96" t="s">
        <v>134</v>
      </c>
      <c r="N96">
        <v>475</v>
      </c>
      <c r="O96" t="s">
        <v>146</v>
      </c>
    </row>
    <row r="97" spans="1:15" x14ac:dyDescent="0.45">
      <c r="A97" t="s">
        <v>141</v>
      </c>
      <c r="B97">
        <v>120</v>
      </c>
      <c r="C97">
        <v>21</v>
      </c>
      <c r="D97">
        <v>0.439</v>
      </c>
      <c r="E97">
        <v>58792</v>
      </c>
      <c r="F97">
        <v>125</v>
      </c>
      <c r="G97">
        <v>0.72199999999999998</v>
      </c>
      <c r="H97">
        <v>0.33300000000000002</v>
      </c>
      <c r="I97">
        <v>2.2000000000000002</v>
      </c>
      <c r="J97">
        <v>3.2</v>
      </c>
      <c r="K97">
        <v>3.7</v>
      </c>
      <c r="L97" t="s">
        <v>134</v>
      </c>
      <c r="M97" t="s">
        <v>134</v>
      </c>
      <c r="N97">
        <v>475</v>
      </c>
      <c r="O97" t="s">
        <v>146</v>
      </c>
    </row>
    <row r="98" spans="1:15" x14ac:dyDescent="0.45">
      <c r="A98" t="s">
        <v>114</v>
      </c>
      <c r="B98">
        <v>49</v>
      </c>
      <c r="C98">
        <v>57</v>
      </c>
      <c r="D98">
        <v>0.53500000000000003</v>
      </c>
      <c r="E98">
        <v>123872</v>
      </c>
      <c r="F98">
        <v>42</v>
      </c>
      <c r="G98">
        <v>0.90300000000000002</v>
      </c>
      <c r="H98">
        <v>0.61099999999999999</v>
      </c>
      <c r="I98">
        <v>3.2</v>
      </c>
      <c r="J98">
        <v>3.1</v>
      </c>
      <c r="K98">
        <v>3.6</v>
      </c>
      <c r="L98" t="s">
        <v>134</v>
      </c>
      <c r="M98" t="s">
        <v>134</v>
      </c>
      <c r="N98">
        <v>475</v>
      </c>
      <c r="O98" t="s">
        <v>146</v>
      </c>
    </row>
    <row r="99" spans="1:15" x14ac:dyDescent="0.45">
      <c r="A99" t="s">
        <v>75</v>
      </c>
      <c r="B99">
        <v>79</v>
      </c>
      <c r="C99">
        <v>40</v>
      </c>
      <c r="D99">
        <v>0.64400000000000002</v>
      </c>
      <c r="E99">
        <v>88882</v>
      </c>
      <c r="F99">
        <v>78</v>
      </c>
      <c r="G99">
        <v>0.88200000000000001</v>
      </c>
      <c r="H99">
        <v>0.65700000000000003</v>
      </c>
      <c r="I99">
        <v>2.8</v>
      </c>
      <c r="J99">
        <v>4.0999999999999996</v>
      </c>
      <c r="K99">
        <v>3.3</v>
      </c>
      <c r="L99" t="s">
        <v>134</v>
      </c>
      <c r="M99" t="s">
        <v>134</v>
      </c>
      <c r="N99">
        <v>475</v>
      </c>
      <c r="O99" t="s">
        <v>146</v>
      </c>
    </row>
    <row r="100" spans="1:15" x14ac:dyDescent="0.45">
      <c r="A100" t="s">
        <v>77</v>
      </c>
      <c r="B100">
        <v>66</v>
      </c>
      <c r="C100">
        <v>48</v>
      </c>
      <c r="D100">
        <v>0.23599999999999999</v>
      </c>
      <c r="E100">
        <v>105352</v>
      </c>
      <c r="F100">
        <v>52</v>
      </c>
      <c r="G100">
        <v>0.69</v>
      </c>
      <c r="H100">
        <v>0.54800000000000004</v>
      </c>
      <c r="I100">
        <v>3.4</v>
      </c>
      <c r="J100">
        <v>3.2</v>
      </c>
      <c r="K100">
        <v>3.6</v>
      </c>
      <c r="L100" t="s">
        <v>134</v>
      </c>
      <c r="M100" t="s">
        <v>134</v>
      </c>
      <c r="N100">
        <v>475</v>
      </c>
      <c r="O100" t="s">
        <v>146</v>
      </c>
    </row>
    <row r="101" spans="1:15" x14ac:dyDescent="0.45">
      <c r="A101" t="s">
        <v>78</v>
      </c>
      <c r="B101">
        <v>50</v>
      </c>
      <c r="C101">
        <v>56</v>
      </c>
      <c r="D101">
        <v>0.57399999999999995</v>
      </c>
      <c r="E101">
        <v>82706</v>
      </c>
      <c r="F101">
        <v>90</v>
      </c>
      <c r="G101">
        <v>0.875</v>
      </c>
      <c r="H101">
        <v>0.71899999999999997</v>
      </c>
      <c r="I101">
        <v>3.1</v>
      </c>
      <c r="J101">
        <v>3.1</v>
      </c>
      <c r="K101">
        <v>3.8</v>
      </c>
      <c r="L101" t="s">
        <v>134</v>
      </c>
      <c r="M101" t="s">
        <v>134</v>
      </c>
      <c r="N101">
        <v>475</v>
      </c>
      <c r="O101" t="s">
        <v>146</v>
      </c>
    </row>
    <row r="102" spans="1:15" x14ac:dyDescent="0.45">
      <c r="A102" t="s">
        <v>83</v>
      </c>
      <c r="B102">
        <v>88</v>
      </c>
      <c r="C102">
        <v>35</v>
      </c>
      <c r="D102">
        <v>0.437</v>
      </c>
      <c r="E102">
        <v>87276</v>
      </c>
      <c r="F102">
        <v>85</v>
      </c>
      <c r="G102">
        <v>0.59599999999999997</v>
      </c>
      <c r="H102">
        <v>0.31900000000000001</v>
      </c>
      <c r="I102">
        <v>2.8</v>
      </c>
      <c r="J102">
        <v>3.2</v>
      </c>
      <c r="K102">
        <v>3.7</v>
      </c>
      <c r="L102" t="s">
        <v>134</v>
      </c>
      <c r="M102" t="s">
        <v>134</v>
      </c>
      <c r="N102">
        <v>475</v>
      </c>
      <c r="O102" t="s">
        <v>146</v>
      </c>
    </row>
    <row r="103" spans="1:15" x14ac:dyDescent="0.45">
      <c r="A103" t="s">
        <v>86</v>
      </c>
      <c r="B103">
        <v>73</v>
      </c>
      <c r="C103">
        <v>44</v>
      </c>
      <c r="D103">
        <v>0.42899999999999999</v>
      </c>
      <c r="E103">
        <v>89323</v>
      </c>
      <c r="F103">
        <v>87</v>
      </c>
      <c r="G103">
        <v>0.92200000000000004</v>
      </c>
      <c r="H103">
        <v>0.81299999999999994</v>
      </c>
      <c r="I103">
        <v>2.8</v>
      </c>
      <c r="J103">
        <v>3.3</v>
      </c>
      <c r="K103">
        <v>3.6</v>
      </c>
      <c r="L103" t="s">
        <v>134</v>
      </c>
      <c r="M103" t="s">
        <v>134</v>
      </c>
      <c r="N103">
        <v>475</v>
      </c>
      <c r="O103" t="s">
        <v>146</v>
      </c>
    </row>
    <row r="104" spans="1:15" x14ac:dyDescent="0.45">
      <c r="A104" t="s">
        <v>88</v>
      </c>
      <c r="B104">
        <v>97</v>
      </c>
      <c r="C104">
        <v>31</v>
      </c>
      <c r="D104">
        <v>0.41699999999999998</v>
      </c>
      <c r="E104">
        <v>100450</v>
      </c>
      <c r="F104">
        <v>101</v>
      </c>
      <c r="G104">
        <v>0.80500000000000005</v>
      </c>
      <c r="H104">
        <v>0.63400000000000001</v>
      </c>
      <c r="I104">
        <v>2.7</v>
      </c>
      <c r="J104">
        <v>3.4</v>
      </c>
      <c r="K104">
        <v>3.2</v>
      </c>
      <c r="L104" t="s">
        <v>134</v>
      </c>
      <c r="M104" t="s">
        <v>134</v>
      </c>
      <c r="N104">
        <v>475</v>
      </c>
      <c r="O104" t="s">
        <v>146</v>
      </c>
    </row>
    <row r="105" spans="1:15" x14ac:dyDescent="0.45">
      <c r="A105" t="s">
        <v>89</v>
      </c>
      <c r="B105">
        <v>77</v>
      </c>
      <c r="C105">
        <v>41</v>
      </c>
      <c r="D105">
        <v>0.97399999999999998</v>
      </c>
      <c r="E105">
        <v>64669</v>
      </c>
      <c r="F105">
        <v>112</v>
      </c>
      <c r="G105">
        <v>0.90300000000000002</v>
      </c>
      <c r="H105">
        <v>0.58099999999999996</v>
      </c>
      <c r="I105">
        <v>2.2999999999999998</v>
      </c>
      <c r="J105">
        <v>4.3</v>
      </c>
      <c r="K105">
        <v>3.8</v>
      </c>
      <c r="L105" t="s">
        <v>134</v>
      </c>
      <c r="M105" t="s">
        <v>134</v>
      </c>
      <c r="N105">
        <v>475</v>
      </c>
      <c r="O105" t="s">
        <v>146</v>
      </c>
    </row>
    <row r="106" spans="1:15" x14ac:dyDescent="0.45">
      <c r="A106" t="s">
        <v>93</v>
      </c>
      <c r="B106">
        <v>61</v>
      </c>
      <c r="C106">
        <v>51</v>
      </c>
      <c r="D106">
        <v>0.75800000000000001</v>
      </c>
      <c r="E106">
        <v>78298</v>
      </c>
      <c r="F106">
        <v>115</v>
      </c>
      <c r="G106">
        <v>0.91700000000000004</v>
      </c>
      <c r="H106">
        <v>0.66700000000000004</v>
      </c>
      <c r="I106">
        <v>2.9</v>
      </c>
      <c r="J106">
        <v>3.8</v>
      </c>
      <c r="K106">
        <v>3.8</v>
      </c>
      <c r="L106" t="s">
        <v>134</v>
      </c>
      <c r="M106" t="s">
        <v>134</v>
      </c>
      <c r="N106">
        <v>475</v>
      </c>
      <c r="O106" t="s">
        <v>146</v>
      </c>
    </row>
    <row r="107" spans="1:15" x14ac:dyDescent="0.45">
      <c r="A107" t="s">
        <v>142</v>
      </c>
      <c r="B107">
        <v>115</v>
      </c>
      <c r="C107">
        <v>23</v>
      </c>
      <c r="D107">
        <v>0.78200000000000003</v>
      </c>
      <c r="E107">
        <v>66326</v>
      </c>
      <c r="F107">
        <v>115</v>
      </c>
      <c r="G107">
        <v>0.71899999999999997</v>
      </c>
      <c r="H107">
        <v>0.5</v>
      </c>
      <c r="I107">
        <v>2.6</v>
      </c>
      <c r="J107">
        <v>3.3</v>
      </c>
      <c r="K107">
        <v>3.5</v>
      </c>
      <c r="L107" t="s">
        <v>134</v>
      </c>
      <c r="M107" t="s">
        <v>134</v>
      </c>
      <c r="N107">
        <v>475</v>
      </c>
      <c r="O107" t="s">
        <v>146</v>
      </c>
    </row>
    <row r="108" spans="1:15" x14ac:dyDescent="0.45">
      <c r="A108" t="s">
        <v>95</v>
      </c>
      <c r="B108">
        <v>76</v>
      </c>
      <c r="C108">
        <v>43</v>
      </c>
      <c r="D108">
        <v>0.14699999999999999</v>
      </c>
      <c r="E108">
        <v>107776</v>
      </c>
      <c r="F108">
        <v>67</v>
      </c>
      <c r="G108">
        <v>0.74399999999999999</v>
      </c>
      <c r="H108">
        <v>0.41899999999999998</v>
      </c>
      <c r="I108">
        <v>2.9</v>
      </c>
      <c r="J108">
        <v>3.6</v>
      </c>
      <c r="K108">
        <v>3.3</v>
      </c>
      <c r="L108" t="s">
        <v>134</v>
      </c>
      <c r="M108" t="s">
        <v>134</v>
      </c>
      <c r="N108">
        <v>475</v>
      </c>
      <c r="O108" t="s">
        <v>146</v>
      </c>
    </row>
    <row r="109" spans="1:15" x14ac:dyDescent="0.45">
      <c r="A109" t="s">
        <v>96</v>
      </c>
      <c r="B109">
        <v>50</v>
      </c>
      <c r="C109">
        <v>56</v>
      </c>
      <c r="D109">
        <v>0.51900000000000002</v>
      </c>
      <c r="E109">
        <v>116675</v>
      </c>
      <c r="F109">
        <v>71</v>
      </c>
      <c r="G109">
        <v>0.94799999999999995</v>
      </c>
      <c r="H109">
        <v>0.60299999999999998</v>
      </c>
      <c r="I109">
        <v>3.2</v>
      </c>
      <c r="J109">
        <v>3.4</v>
      </c>
      <c r="K109">
        <v>3.4</v>
      </c>
      <c r="L109" t="s">
        <v>134</v>
      </c>
      <c r="M109" t="s">
        <v>134</v>
      </c>
      <c r="N109">
        <v>475</v>
      </c>
      <c r="O109" t="s">
        <v>146</v>
      </c>
    </row>
    <row r="110" spans="1:15" x14ac:dyDescent="0.45">
      <c r="A110" t="s">
        <v>97</v>
      </c>
      <c r="B110">
        <v>13</v>
      </c>
      <c r="C110">
        <v>87</v>
      </c>
      <c r="D110">
        <v>0.82699999999999996</v>
      </c>
      <c r="E110" t="s">
        <v>134</v>
      </c>
      <c r="F110" t="s">
        <v>134</v>
      </c>
      <c r="G110">
        <v>0.88600000000000001</v>
      </c>
      <c r="H110">
        <v>0.81899999999999995</v>
      </c>
      <c r="I110" t="s">
        <v>134</v>
      </c>
      <c r="J110" t="s">
        <v>134</v>
      </c>
      <c r="K110" t="s">
        <v>134</v>
      </c>
      <c r="L110" t="s">
        <v>134</v>
      </c>
      <c r="M110" t="s">
        <v>134</v>
      </c>
      <c r="N110">
        <v>475</v>
      </c>
      <c r="O110" t="s">
        <v>146</v>
      </c>
    </row>
    <row r="111" spans="1:15" x14ac:dyDescent="0.45">
      <c r="A111" t="s">
        <v>98</v>
      </c>
      <c r="B111">
        <v>110</v>
      </c>
      <c r="C111">
        <v>25</v>
      </c>
      <c r="D111">
        <v>0.66700000000000004</v>
      </c>
      <c r="E111">
        <v>72456</v>
      </c>
      <c r="F111">
        <v>123</v>
      </c>
      <c r="G111">
        <v>0.96399999999999997</v>
      </c>
      <c r="H111">
        <v>0.35699999999999998</v>
      </c>
      <c r="I111">
        <v>2.2999999999999998</v>
      </c>
      <c r="J111">
        <v>1.9</v>
      </c>
      <c r="K111">
        <v>3.7</v>
      </c>
      <c r="L111" t="s">
        <v>134</v>
      </c>
      <c r="M111" t="s">
        <v>134</v>
      </c>
      <c r="N111">
        <v>475</v>
      </c>
      <c r="O111" t="s">
        <v>146</v>
      </c>
    </row>
    <row r="112" spans="1:15" x14ac:dyDescent="0.45">
      <c r="A112" t="s">
        <v>101</v>
      </c>
      <c r="B112">
        <v>113</v>
      </c>
      <c r="C112">
        <v>24</v>
      </c>
      <c r="D112">
        <v>0.73699999999999999</v>
      </c>
      <c r="E112">
        <v>62500</v>
      </c>
      <c r="F112">
        <v>112</v>
      </c>
      <c r="G112">
        <v>0.92600000000000005</v>
      </c>
      <c r="H112">
        <v>0.74099999999999999</v>
      </c>
      <c r="I112">
        <v>2.7</v>
      </c>
      <c r="J112">
        <v>1.9</v>
      </c>
      <c r="K112">
        <v>3.3</v>
      </c>
      <c r="L112" t="s">
        <v>134</v>
      </c>
      <c r="M112" t="s">
        <v>134</v>
      </c>
      <c r="N112">
        <v>475</v>
      </c>
      <c r="O112" t="s">
        <v>146</v>
      </c>
    </row>
    <row r="113" spans="1:15" x14ac:dyDescent="0.45">
      <c r="A113" t="s">
        <v>105</v>
      </c>
      <c r="B113">
        <v>88</v>
      </c>
      <c r="C113">
        <v>35</v>
      </c>
      <c r="D113">
        <v>0.72</v>
      </c>
      <c r="E113">
        <v>91884</v>
      </c>
      <c r="F113">
        <v>71</v>
      </c>
      <c r="G113">
        <v>0.64</v>
      </c>
      <c r="H113">
        <v>0.44</v>
      </c>
      <c r="I113">
        <v>2.9</v>
      </c>
      <c r="J113">
        <v>3.3</v>
      </c>
      <c r="K113">
        <v>3.4</v>
      </c>
      <c r="L113" t="s">
        <v>134</v>
      </c>
      <c r="M113" t="s">
        <v>134</v>
      </c>
      <c r="N113">
        <v>475</v>
      </c>
      <c r="O113" t="s">
        <v>146</v>
      </c>
    </row>
    <row r="114" spans="1:15" x14ac:dyDescent="0.45">
      <c r="A114" t="s">
        <v>107</v>
      </c>
      <c r="B114">
        <v>46</v>
      </c>
      <c r="C114">
        <v>58</v>
      </c>
      <c r="D114">
        <v>0.28599999999999998</v>
      </c>
      <c r="E114">
        <v>133677</v>
      </c>
      <c r="F114">
        <v>33</v>
      </c>
      <c r="G114">
        <v>0.79200000000000004</v>
      </c>
      <c r="H114">
        <v>0.63500000000000001</v>
      </c>
      <c r="I114">
        <v>3.1</v>
      </c>
      <c r="J114">
        <v>3.5</v>
      </c>
      <c r="K114">
        <v>3.5</v>
      </c>
      <c r="L114" t="s">
        <v>134</v>
      </c>
      <c r="M114" t="s">
        <v>134</v>
      </c>
      <c r="N114">
        <v>475</v>
      </c>
      <c r="O114" t="s">
        <v>146</v>
      </c>
    </row>
    <row r="115" spans="1:15" x14ac:dyDescent="0.45">
      <c r="A115" t="s">
        <v>109</v>
      </c>
      <c r="B115">
        <v>108</v>
      </c>
      <c r="C115">
        <v>26</v>
      </c>
      <c r="D115">
        <v>0.71799999999999997</v>
      </c>
      <c r="E115">
        <v>101204</v>
      </c>
      <c r="F115">
        <v>59</v>
      </c>
      <c r="G115">
        <v>0.64</v>
      </c>
      <c r="H115">
        <v>0.52</v>
      </c>
      <c r="I115">
        <v>2.8</v>
      </c>
      <c r="J115">
        <v>3</v>
      </c>
      <c r="K115">
        <v>3.3</v>
      </c>
      <c r="L115" t="s">
        <v>134</v>
      </c>
      <c r="M115" t="s">
        <v>134</v>
      </c>
      <c r="N115">
        <v>475</v>
      </c>
      <c r="O115" t="s">
        <v>146</v>
      </c>
    </row>
    <row r="116" spans="1:15" x14ac:dyDescent="0.45">
      <c r="A116" t="s">
        <v>111</v>
      </c>
      <c r="B116">
        <v>71</v>
      </c>
      <c r="C116">
        <v>46</v>
      </c>
      <c r="D116">
        <v>0.26500000000000001</v>
      </c>
      <c r="E116">
        <v>110229</v>
      </c>
      <c r="F116">
        <v>71</v>
      </c>
      <c r="G116">
        <v>0.81</v>
      </c>
      <c r="H116">
        <v>0.47599999999999998</v>
      </c>
      <c r="I116">
        <v>3.2</v>
      </c>
      <c r="J116">
        <v>3.2</v>
      </c>
      <c r="K116">
        <v>3.3</v>
      </c>
      <c r="L116" t="s">
        <v>134</v>
      </c>
      <c r="M116" t="s">
        <v>134</v>
      </c>
      <c r="N116">
        <v>475</v>
      </c>
      <c r="O116" t="s">
        <v>146</v>
      </c>
    </row>
    <row r="117" spans="1:15" x14ac:dyDescent="0.45">
      <c r="A117" t="s">
        <v>112</v>
      </c>
      <c r="B117">
        <v>105</v>
      </c>
      <c r="C117">
        <v>28</v>
      </c>
      <c r="D117">
        <v>0.49299999999999999</v>
      </c>
      <c r="E117">
        <v>52860</v>
      </c>
      <c r="F117">
        <v>131</v>
      </c>
      <c r="G117">
        <v>0.86799999999999999</v>
      </c>
      <c r="H117">
        <v>0.5</v>
      </c>
      <c r="I117">
        <v>2.7</v>
      </c>
      <c r="J117">
        <v>2.9</v>
      </c>
      <c r="K117">
        <v>3.7</v>
      </c>
      <c r="L117" t="s">
        <v>134</v>
      </c>
      <c r="M117" t="s">
        <v>134</v>
      </c>
      <c r="N117">
        <v>475</v>
      </c>
      <c r="O117" t="s">
        <v>146</v>
      </c>
    </row>
    <row r="118" spans="1:15" x14ac:dyDescent="0.45">
      <c r="A118" t="s">
        <v>143</v>
      </c>
      <c r="B118">
        <v>31</v>
      </c>
      <c r="C118">
        <v>75</v>
      </c>
      <c r="D118">
        <v>0.33400000000000002</v>
      </c>
      <c r="E118" t="s">
        <v>134</v>
      </c>
      <c r="F118" t="s">
        <v>134</v>
      </c>
      <c r="G118" t="s">
        <v>134</v>
      </c>
      <c r="H118" t="s">
        <v>134</v>
      </c>
      <c r="I118">
        <v>3.3</v>
      </c>
      <c r="J118" t="s">
        <v>134</v>
      </c>
      <c r="K118" t="s">
        <v>134</v>
      </c>
      <c r="L118" t="s">
        <v>134</v>
      </c>
      <c r="M118" t="s">
        <v>134</v>
      </c>
      <c r="N118">
        <v>475</v>
      </c>
      <c r="O118" t="s">
        <v>146</v>
      </c>
    </row>
    <row r="119" spans="1:15" x14ac:dyDescent="0.45">
      <c r="A119" t="s">
        <v>120</v>
      </c>
      <c r="B119">
        <v>18</v>
      </c>
      <c r="C119">
        <v>79</v>
      </c>
      <c r="D119">
        <v>0.622</v>
      </c>
      <c r="E119" t="s">
        <v>134</v>
      </c>
      <c r="F119" t="s">
        <v>134</v>
      </c>
      <c r="G119">
        <v>0.93400000000000005</v>
      </c>
      <c r="H119">
        <v>0.85799999999999998</v>
      </c>
      <c r="I119" t="s">
        <v>134</v>
      </c>
      <c r="J119" t="s">
        <v>134</v>
      </c>
      <c r="K119" t="s">
        <v>134</v>
      </c>
      <c r="L119" t="s">
        <v>134</v>
      </c>
      <c r="M119" t="s">
        <v>134</v>
      </c>
      <c r="N119">
        <v>475</v>
      </c>
      <c r="O119" t="s">
        <v>146</v>
      </c>
    </row>
    <row r="120" spans="1:15" x14ac:dyDescent="0.45">
      <c r="A120" t="s">
        <v>121</v>
      </c>
      <c r="B120">
        <v>24</v>
      </c>
      <c r="C120">
        <v>74</v>
      </c>
      <c r="D120">
        <v>0.83</v>
      </c>
      <c r="E120" t="s">
        <v>134</v>
      </c>
      <c r="F120" t="s">
        <v>134</v>
      </c>
      <c r="G120">
        <v>0.82099999999999995</v>
      </c>
      <c r="H120">
        <v>0.67100000000000004</v>
      </c>
      <c r="I120" t="s">
        <v>134</v>
      </c>
      <c r="J120" t="s">
        <v>134</v>
      </c>
      <c r="K120" t="s">
        <v>134</v>
      </c>
      <c r="L120" t="s">
        <v>134</v>
      </c>
      <c r="M120" t="s">
        <v>134</v>
      </c>
      <c r="N120">
        <v>475</v>
      </c>
      <c r="O120" t="s">
        <v>146</v>
      </c>
    </row>
    <row r="121" spans="1:15" x14ac:dyDescent="0.45">
      <c r="A121" t="s">
        <v>122</v>
      </c>
      <c r="B121">
        <v>104</v>
      </c>
      <c r="C121">
        <v>29</v>
      </c>
      <c r="D121">
        <v>0.75</v>
      </c>
      <c r="E121">
        <v>84091</v>
      </c>
      <c r="F121">
        <v>76</v>
      </c>
      <c r="G121">
        <v>0.95699999999999996</v>
      </c>
      <c r="H121">
        <v>0.69599999999999995</v>
      </c>
      <c r="I121">
        <v>1.7</v>
      </c>
      <c r="J121">
        <v>1.9</v>
      </c>
      <c r="K121">
        <v>3.6</v>
      </c>
      <c r="L121" t="s">
        <v>134</v>
      </c>
      <c r="M121" t="s">
        <v>134</v>
      </c>
      <c r="N121">
        <v>475</v>
      </c>
      <c r="O121" t="s">
        <v>146</v>
      </c>
    </row>
    <row r="122" spans="1:15" x14ac:dyDescent="0.45">
      <c r="A122" t="s">
        <v>123</v>
      </c>
      <c r="B122">
        <v>97</v>
      </c>
      <c r="C122">
        <v>31</v>
      </c>
      <c r="D122">
        <v>0.98799999999999999</v>
      </c>
      <c r="E122">
        <v>68125</v>
      </c>
      <c r="F122">
        <v>106</v>
      </c>
      <c r="G122">
        <v>0.73299999999999998</v>
      </c>
      <c r="H122">
        <v>0.49299999999999999</v>
      </c>
      <c r="I122">
        <v>2</v>
      </c>
      <c r="J122">
        <v>4</v>
      </c>
      <c r="K122">
        <v>3.5</v>
      </c>
      <c r="L122" t="s">
        <v>134</v>
      </c>
      <c r="M122" t="s">
        <v>134</v>
      </c>
      <c r="N122">
        <v>475</v>
      </c>
      <c r="O122" t="s">
        <v>146</v>
      </c>
    </row>
  </sheetData>
  <autoFilter ref="A1:O1" xr:uid="{8FC65DB2-7FA2-4CF4-BF1A-00A8F3D71BB8}">
    <sortState xmlns:xlrd2="http://schemas.microsoft.com/office/spreadsheetml/2017/richdata2" ref="A2:O122">
      <sortCondition ref="N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2025</vt:lpstr>
    </vt:vector>
  </TitlesOfParts>
  <Company>George 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Stopak, Cameron</dc:creator>
  <cp:lastModifiedBy>Nagarjuna, Venkatesh B</cp:lastModifiedBy>
  <dcterms:created xsi:type="dcterms:W3CDTF">2026-05-14T18:29:33Z</dcterms:created>
  <dcterms:modified xsi:type="dcterms:W3CDTF">2026-05-16T21:40:03Z</dcterms:modified>
</cp:coreProperties>
</file>